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Input Calculator" sheetId="1" state="visible" r:id="rId3"/>
    <sheet name="basic parameter" sheetId="2" state="visible" r:id="rId4"/>
    <sheet name="country factors" sheetId="3" state="visible" r:id="rId5"/>
    <sheet name="CBAM calc" sheetId="4" state="visible" r:id="rId6"/>
    <sheet name="CBAM" sheetId="5" state="visible" r:id="rId7"/>
    <sheet name="Simulated Data" sheetId="6" state="visible" r:id="rId8"/>
    <sheet name="HMRC exchange rates" sheetId="7" state="visible" r:id="rId9"/>
    <sheet name="Net weight of commodity" sheetId="8" state="visible" r:id="rId10"/>
    <sheet name="UK demand for steel" sheetId="9" state="visible" r:id="rId11"/>
    <sheet name="Asumption of FA adjustment" sheetId="10" state="visible" r:id="rId12"/>
    <sheet name="(India) emission intensity" sheetId="11" state="visible" r:id="rId13"/>
    <sheet name="Scenario Analysis" sheetId="12" state="visible" r:id="rId14"/>
    <sheet name="New Scenario Analysis" sheetId="13" state="visible" r:id="rId15"/>
    <sheet name="Sensitivity Analysi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<sst xmlns="http://schemas.openxmlformats.org/spreadsheetml/2006/main" count="1918" uniqueCount="591">
  <si>
    <t xml:space="preserve">UK CBAM LIABILITY CALCULATOR — Single Consignment</t>
  </si>
  <si>
    <t xml:space="preserve">Fill in the YELLOW cells. GREEN cells show automatic results.</t>
  </si>
  <si>
    <t xml:space="preserve">1. CONSIGNMENT DETAILS (user input)</t>
  </si>
  <si>
    <t xml:space="preserve">Consignment Reference</t>
  </si>
  <si>
    <t xml:space="preserve">BATCH-2027-001</t>
  </si>
  <si>
    <t xml:space="preserve">Your unique shipment ID</t>
  </si>
  <si>
    <t xml:space="preserve">Project Date</t>
  </si>
  <si>
    <t xml:space="preserve">date</t>
  </si>
  <si>
    <t xml:space="preserve">Date goods cleared UK customs</t>
  </si>
  <si>
    <t xml:space="preserve">Country of Production</t>
  </si>
  <si>
    <t xml:space="preserve">INDIA</t>
  </si>
  <si>
    <t xml:space="preserve">See "country factors" sheet for available countries</t>
  </si>
  <si>
    <t xml:space="preserve">Import Weight (Tonnes)</t>
  </si>
  <si>
    <t xml:space="preserve">t</t>
  </si>
  <si>
    <t xml:space="preserve">Net weight of steel (excl. packaging)</t>
  </si>
  <si>
    <t xml:space="preserve">Product Route</t>
  </si>
  <si>
    <t xml:space="preserve">BF-BOF</t>
  </si>
  <si>
    <t xml:space="preserve">BF-BOF or EAF</t>
  </si>
  <si>
    <t xml:space="preserve">Actual Emission Intensity</t>
  </si>
  <si>
    <t xml:space="preserve">tCO₂e/t</t>
  </si>
  <si>
    <t xml:space="preserve">From supplier. Leave blank to use default from basic parameter C3</t>
  </si>
  <si>
    <t xml:space="preserve">Weight of UK-sourced Precursor</t>
  </si>
  <si>
    <t xml:space="preserve">UK-origin scrap/ore deduction</t>
  </si>
  <si>
    <t xml:space="preserve">Local Carbon Price Status</t>
  </si>
  <si>
    <t xml:space="preserve">N</t>
  </si>
  <si>
    <t xml:space="preserve">Y/N</t>
  </si>
  <si>
    <t xml:space="preserve">Did exporter pay a carbon tax in origin country?</t>
  </si>
  <si>
    <t xml:space="preserve">Carbon Price Coverage Ratio</t>
  </si>
  <si>
    <t xml:space="preserve">%</t>
  </si>
  <si>
    <t xml:space="preserve">% of emissions subject to local tax (enter as number, e.g. 80)</t>
  </si>
  <si>
    <t xml:space="preserve">Consignment Value</t>
  </si>
  <si>
    <t xml:space="preserve">GBP</t>
  </si>
  <si>
    <t xml:space="preserve">Used for £50k registration threshold check</t>
  </si>
  <si>
    <t xml:space="preserve">2. CALCULATED RESULTS (automatic)</t>
  </si>
  <si>
    <t xml:space="preserve">Embedded Emissions</t>
  </si>
  <si>
    <t xml:space="preserve">tCO₂e</t>
  </si>
  <si>
    <t xml:space="preserve">Import Weight × Actual Intensity (or Default if blank)</t>
  </si>
  <si>
    <t xml:space="preserve">Adjusted Emissions (after precursor deduction)</t>
  </si>
  <si>
    <t xml:space="preserve">Embedded Emissions − (UK Precursor × Precursor Factor)</t>
  </si>
  <si>
    <t xml:space="preserve">Current Effective CBAM Rate</t>
  </si>
  <si>
    <t xml:space="preserve">GBP/tCO₂e</t>
  </si>
  <si>
    <t xml:space="preserve">UK ETS Price × Free Allowance Adjustment Factor</t>
  </si>
  <si>
    <t xml:space="preserve">Total CBAM Charge (before relief)</t>
  </si>
  <si>
    <t xml:space="preserve">Adjusted Emissions × Effective CBAM Rate</t>
  </si>
  <si>
    <t xml:space="preserve">Carbon Price Relief (CPR)</t>
  </si>
  <si>
    <t xml:space="preserve">If local tax paid: Adj Emissions × Coverage% × Local Price × FX</t>
  </si>
  <si>
    <t xml:space="preserve">FINAL CBAM LIABILITY</t>
  </si>
  <si>
    <t xml:space="preserve">MAX(Total Charge − CPR, 0). Net amount payable to HMRC.</t>
  </si>
  <si>
    <t xml:space="preserve">Mandatory Registration Required?</t>
  </si>
  <si>
    <t xml:space="preserve">Consignment Value ≥ £50,000 threshold</t>
  </si>
  <si>
    <t xml:space="preserve">Potential Compliance Penalty</t>
  </si>
  <si>
    <t xml:space="preserve">Penalty if registration missed</t>
  </si>
  <si>
    <t xml:space="preserve">DPP Implementation Cost</t>
  </si>
  <si>
    <t xml:space="preserve">Import Weight × DPP Unit Cost</t>
  </si>
  <si>
    <t xml:space="preserve">Net DPP Economic Benefit</t>
  </si>
  <si>
    <t xml:space="preserve">(Default − Actual Emissions) × CBAM Rate − DPP Cost − Penalty</t>
  </si>
  <si>
    <t xml:space="preserve">Alert: Liability Above Threshold?</t>
  </si>
  <si>
    <t xml:space="preserve">Flags if Final Liability &gt; alert threshold (basic parameter C16)</t>
  </si>
  <si>
    <t xml:space="preserve">Legend:</t>
  </si>
  <si>
    <t xml:space="preserve">  Yellow cells = user inputs</t>
  </si>
  <si>
    <t xml:space="preserve">  Green cells = auto-calculated</t>
  </si>
  <si>
    <t xml:space="preserve">Assumptions live in "basic parameter" sheet. Country intensities in "country factors" sheet.</t>
  </si>
  <si>
    <t xml:space="preserve">No</t>
  </si>
  <si>
    <t xml:space="preserve">Professional Term</t>
  </si>
  <si>
    <t xml:space="preserve">amount</t>
  </si>
  <si>
    <t xml:space="preserve">Cell Reference</t>
  </si>
  <si>
    <t xml:space="preserve">Description</t>
  </si>
  <si>
    <t xml:space="preserve">UK ETS Average Price (GBP/tCO₂e)</t>
  </si>
  <si>
    <t xml:space="preserve">C2</t>
  </si>
  <si>
    <t xml:space="preserve">UK ETS Authority 2026 civil-penalty price (12-month avg of UKA Dec futures to 11 Nov 2025). Source: gov.uk/government/publications/determinations-of-the-uk-ets-carbon-price</t>
  </si>
  <si>
    <r>
      <rPr>
        <sz val="11"/>
        <color theme="1"/>
        <rFont val="Calibri"/>
        <family val="0"/>
        <charset val="134"/>
      </rPr>
      <t xml:space="preserve">Default Emission Factor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0"/>
        <charset val="134"/>
      </rPr>
      <t xml:space="preserve">tCO₂e / tSteel</t>
    </r>
    <r>
      <rPr>
        <sz val="11"/>
        <color theme="1"/>
        <rFont val="Noto Sans CJK SC"/>
        <family val="2"/>
      </rPr>
      <t xml:space="preserve">）</t>
    </r>
  </si>
  <si>
    <t xml:space="preserve">C3</t>
  </si>
  <si>
    <t xml:space="preserve">Global benchmark default: 1.8 tCO₂/t (Worldsteel 2024). Do NOT change to India-specific value — this is the UK reference level used in the Net DPP formula.</t>
  </si>
  <si>
    <t xml:space="preserve">Industry Free Allocation Coverage Ratio of Emissions</t>
  </si>
  <si>
    <t xml:space="preserve">C4</t>
  </si>
  <si>
    <t xml:space="preserve">CORRECTED: avg FA/Emissions for UK steel 2021-2023 from HMRC FA analytical annex. (2021:0.869, 2022:1.017, 2023:0.921). See FA adjustment sheet.</t>
  </si>
  <si>
    <t xml:space="preserve">Emission Reduction Factor</t>
  </si>
  <si>
    <t xml:space="preserve">C5</t>
  </si>
  <si>
    <t xml:space="preserve">Annual decreasing factor set by HMRC (steel industry baseline from 2027 is 25% (0.25)). Will phase up per EU CBAM schedule: 2.5%(2026), 10%(2028)... 100%(2034).</t>
  </si>
  <si>
    <t xml:space="preserve">Free Allowance Adjustment Factor</t>
  </si>
  <si>
    <t xml:space="preserve">C6</t>
  </si>
  <si>
    <t xml:space="preserve">Calculation formula: 1 - (Industry Free Allocation Coverage Ratio of Emissions × Emission Reduction Factor)</t>
  </si>
  <si>
    <r>
      <rPr>
        <sz val="11"/>
        <color theme="1"/>
        <rFont val="Calibri"/>
        <family val="2"/>
        <charset val="134"/>
      </rPr>
      <t xml:space="preserve">Effective Carbon Price in Export Country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34"/>
      </rPr>
      <t xml:space="preserve">GBP/tCO₂e</t>
    </r>
    <r>
      <rPr>
        <sz val="11"/>
        <color theme="1"/>
        <rFont val="Noto Sans CJK SC"/>
        <family val="2"/>
      </rPr>
      <t xml:space="preserve">）</t>
    </r>
  </si>
  <si>
    <t xml:space="preserve">C7</t>
  </si>
  <si>
    <t xml:space="preserve">NOTE: This is a global average carbon price used for non-India CPR calculations. India CPR=0 regardless (no qualifying carbon price). Source your team's £11.1 estimate.</t>
  </si>
  <si>
    <t xml:space="preserve">Registration Threshold (GBP)</t>
  </si>
  <si>
    <t xml:space="preserve">C8</t>
  </si>
  <si>
    <t xml:space="preserve">HMRC UK CBAM consultation Oct 2024: £50,000 over rolling 12 months. Source: gov.uk/government/consultations/introduction-of-a-uk-carbon-border-adjustment-mechanism-from-january-2027</t>
  </si>
  <si>
    <t xml:space="preserve">FX Rate (Non-GBP to GBP)</t>
  </si>
  <si>
    <t xml:space="preserve">C9</t>
  </si>
  <si>
    <t xml:space="preserve">Default 1 for GBP. For non-GBP, use HMRC monthly customs exchange rates: gov.uk/government/collections/exchange-rates-for-customs-and-vat</t>
  </si>
  <si>
    <r>
      <rPr>
        <sz val="11"/>
        <color theme="1"/>
        <rFont val="Calibri"/>
        <family val="0"/>
        <charset val="134"/>
      </rPr>
      <t xml:space="preserve">DPP Implementation Cost per Tonne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0"/>
        <charset val="134"/>
      </rPr>
      <t xml:space="preserve">GBP / tSteel</t>
    </r>
    <r>
      <rPr>
        <sz val="11"/>
        <color theme="1"/>
        <rFont val="Noto Sans CJK SC"/>
        <family val="2"/>
      </rPr>
      <t xml:space="preserve">）</t>
    </r>
  </si>
  <si>
    <t xml:space="preserve">C10</t>
  </si>
  <si>
    <t xml:space="preserve">Industry estimate £2-5/t for early DPP rollout. Sources: Carbon Trust 2024, WBCSD steel DPP pilots, BCG/RMI traceability cost studies.</t>
  </si>
  <si>
    <r>
      <rPr>
        <sz val="11"/>
        <color theme="1"/>
        <rFont val="Calibri"/>
        <family val="2"/>
        <charset val="134"/>
      </rPr>
      <t xml:space="preserve">Compliance Penalty Amount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34"/>
      </rPr>
      <t xml:space="preserve">GBP</t>
    </r>
    <r>
      <rPr>
        <sz val="11"/>
        <color theme="1"/>
        <rFont val="Noto Sans CJK SC"/>
        <family val="2"/>
      </rPr>
      <t xml:space="preserve">）</t>
    </r>
  </si>
  <si>
    <t xml:space="preserve">C11</t>
  </si>
  <si>
    <t xml:space="preserve">HMRC UK CBAM technical consultation Apr 2025: late registration £100/day capped; misreporting per customs framework. £5,000 used as scenario placeholder.</t>
  </si>
  <si>
    <r>
      <rPr>
        <sz val="11"/>
        <color theme="1"/>
        <rFont val="Calibri"/>
        <family val="0"/>
        <charset val="134"/>
      </rPr>
      <t xml:space="preserve">Precursor Emission Factor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0"/>
        <charset val="134"/>
      </rPr>
      <t xml:space="preserve">tCO₂e / tSteel</t>
    </r>
    <r>
      <rPr>
        <sz val="11"/>
        <color theme="1"/>
        <rFont val="Noto Sans CJK SC"/>
        <family val="2"/>
      </rPr>
      <t xml:space="preserve">）</t>
    </r>
  </si>
  <si>
    <t xml:space="preserve">C12</t>
  </si>
  <si>
    <t xml:space="preserve">UK scrap-EAF intensity ~0.3 tCO₂/t (Worldsteel scrap-EAF avg 0.68; UK-specific lower due to grid mix). Source: JRC134682, Steel Climate Impact 2025.</t>
  </si>
  <si>
    <t xml:space="preserve">Indirect Emission Switch (0=Excl. / 1=Incl.)</t>
  </si>
  <si>
    <t xml:space="preserve">C13</t>
  </si>
  <si>
    <t xml:space="preserve">Toggle for indirect (electricity) emissions per EU CBAM Annex II grid factors (5-yr IEA avgs). Set to 1 for full-scope modelling.</t>
  </si>
  <si>
    <t xml:space="preserve">Carbon Price Fluctuation (%)</t>
  </si>
  <si>
    <t xml:space="preserve">C14</t>
  </si>
  <si>
    <t xml:space="preserve">Custom input via Dashboard (e.g., ±30%) to simulate market volatility; linked to scenario calculations.</t>
  </si>
  <si>
    <t xml:space="preserve">Emission Intensity Fluctuation (%)</t>
  </si>
  <si>
    <t xml:space="preserve">C15</t>
  </si>
  <si>
    <t xml:space="preserve">Supports custom simulations of emission reductions, reflecting the impact of decarbonization technology.</t>
  </si>
  <si>
    <t xml:space="preserve">Alert Threshold (CBAM Liability)</t>
  </si>
  <si>
    <t xml:space="preserve">C16</t>
  </si>
  <si>
    <t xml:space="preserve">Automatically highlights liabilities exceeding this value in RED on the dashboard to flag high-risk transactions.</t>
  </si>
  <si>
    <t xml:space="preserve">Default Grid Emission Factor (tCO₂e/MWh)</t>
  </si>
  <si>
    <t xml:space="preserve">C18</t>
  </si>
  <si>
    <t xml:space="preserve">Country grid CO₂ intensity (5-yr avg). Used when Indirect Emission Switch=1. EU CBAM Annex II values from IEA. Examples: China 0.55, India 0.71, EU 0.23, US 0.37. Source: iea.org/data-and-statistics/data-product/emissions-factors-2024</t>
  </si>
  <si>
    <t xml:space="preserve">Electricity Use per t Steel (MWh/t)</t>
  </si>
  <si>
    <t xml:space="preserve">C19</t>
  </si>
  <si>
    <t xml:space="preserve">Typical electricity consumption: BF-BOF ~0.3 MWh/t, EAF ~0.5-0.7 MWh/t (scrap), DRI-EAF ~0.6 MWh/t. Source: IEA Iron and Steel Technology Roadmap 2020.</t>
  </si>
  <si>
    <t xml:space="preserve">Net weight of commodity (kg, converted to tons)</t>
  </si>
  <si>
    <t xml:space="preserve">2465.914 kg</t>
  </si>
  <si>
    <t xml:space="preserve">This is item No. 7208 of 2024. For other data, please refer to Net weight    commodity</t>
  </si>
  <si>
    <t xml:space="preserve">Steel total price</t>
  </si>
  <si>
    <t xml:space="preserve">This is item No. 7208 of 2024. For other data, please refer to Net weight commodity</t>
  </si>
  <si>
    <t xml:space="preserve">UPDATED</t>
  </si>
  <si>
    <t xml:space="preserve">Parameters updated 2026-04-12 based on UK ETS Authority Nov 2025 determination, EU CBAM Implementing Reg 2025/2621, and HMRC consultation responses. Yellow cells = updated values.</t>
  </si>
  <si>
    <t xml:space="preserve">The blue part is related to CPR calculation, it is not quite the same as Neptune and Alex. For other estimation methods, please refer to Asumption of FA adjustment.</t>
  </si>
  <si>
    <t xml:space="preserve">Country</t>
  </si>
  <si>
    <t xml:space="preserve">BF-BOF Intensity (tCO₂e/t)</t>
  </si>
  <si>
    <t xml:space="preserve">EAF Intensity (tCO₂e/t)</t>
  </si>
  <si>
    <t xml:space="preserve">EAF Share of Production (%)</t>
  </si>
  <si>
    <t xml:space="preserve">Grid Factor (tCO₂e/MWh)</t>
  </si>
  <si>
    <t xml:space="preserve">Has Carbon Price</t>
  </si>
  <si>
    <t xml:space="preserve">Effective Carbon Price (GBP/tCO₂e)</t>
  </si>
  <si>
    <t xml:space="preserve">Source / Notes</t>
  </si>
  <si>
    <t xml:space="preserve">CHINA</t>
  </si>
  <si>
    <t xml:space="preserve">Y</t>
  </si>
  <si>
    <t xml:space="preserve">JRC/GEI 2025; National ETS ~£10 nominal but ~£0 effective (free allocation). Worldsteel 2024.</t>
  </si>
  <si>
    <t xml:space="preserve">GEI 2025: highest BF-BOF intensity globally; EAF heavily uses coal-DRI feedstock. No national ETS yet.</t>
  </si>
  <si>
    <t xml:space="preserve">GERMANY</t>
  </si>
  <si>
    <t xml:space="preserve">JRC; EU ETS coverage. Lower EAF intensity due to grid decarbonisation.</t>
  </si>
  <si>
    <t xml:space="preserve">US</t>
  </si>
  <si>
    <t xml:space="preserve">GEI 2025; no federal carbon price. RGGI/California are subnational.</t>
  </si>
  <si>
    <t xml:space="preserve">TURKEY</t>
  </si>
  <si>
    <t xml:space="preserve">Worldsteel; ETS in development (pilot 2025).</t>
  </si>
  <si>
    <t xml:space="preserve">SOUTH KOREA</t>
  </si>
  <si>
    <t xml:space="preserve">K-ETS Phase 3; partial free allocation.</t>
  </si>
  <si>
    <t xml:space="preserve">JAPAN</t>
  </si>
  <si>
    <t xml:space="preserve">GX-ETS voluntary 2023; mandatory from 2026.</t>
  </si>
  <si>
    <t xml:space="preserve">VIETNAM</t>
  </si>
  <si>
    <t xml:space="preserve">Pilot ETS planned 2025-27. High coal grid.</t>
  </si>
  <si>
    <t xml:space="preserve">UKRAINE</t>
  </si>
  <si>
    <t xml:space="preserve">Wartime data uncertain; grid factor pre-conflict.</t>
  </si>
  <si>
    <t xml:space="preserve">RUSSIA</t>
  </si>
  <si>
    <t xml:space="preserve">No national price. Sakhalin pilot only.</t>
  </si>
  <si>
    <t xml:space="preserve">FRANCE</t>
  </si>
  <si>
    <t xml:space="preserve">EU ETS; very low grid factor (nuclear).</t>
  </si>
  <si>
    <t xml:space="preserve">ITALY</t>
  </si>
  <si>
    <t xml:space="preserve">EU ETS; high EAF share.</t>
  </si>
  <si>
    <t xml:space="preserve">SPAIN</t>
  </si>
  <si>
    <t xml:space="preserve">EU ETS.</t>
  </si>
  <si>
    <t xml:space="preserve">NETHERLANDS</t>
  </si>
  <si>
    <t xml:space="preserve">EU ETS + national CO₂ levy floor.</t>
  </si>
  <si>
    <t xml:space="preserve">BRAZIL</t>
  </si>
  <si>
    <t xml:space="preserve">GEI 2025: lowest BF-BOF intensity (charcoal use); ETS in development.</t>
  </si>
  <si>
    <t xml:space="preserve">SOURCES</t>
  </si>
  <si>
    <t xml:space="preserve">• EU CBAM defaults: Commission Implementing Regulation (EU) 2025/2621 Annex I — taxation-customs.ec.europa.eu/carbon-border-adjustment-mechanism/cbam-legislation-and-guidance_en</t>
  </si>
  <si>
    <t xml:space="preserve">• Country-route intensities: Global Efficiency Intelligence "Steel Climate Impact 2025" — globalefficiencyintel.com/s/Steel-benchmarking-10102025-E1.pdf</t>
  </si>
  <si>
    <t xml:space="preserve">• JRC GHG intensity report: publications.jrc.ec.europa.eu/repository/handle/JRC134682</t>
  </si>
  <si>
    <t xml:space="preserve">• Worldsteel route shares: worldsteel.org/data/world-steel-in-figures/world-steel-in-figures-2025/</t>
  </si>
  <si>
    <t xml:space="preserve">• Carbon prices: World Bank Carbon Pricing Dashboard — carbonpricingdashboard.worldbank.org</t>
  </si>
  <si>
    <t xml:space="preserve">• Grid factors: IEA Emissions Factors 2024 — iea.org/data-and-statistics/data-product/emissions-factors-2024</t>
  </si>
  <si>
    <t xml:space="preserve">NOTE</t>
  </si>
  <si>
    <t xml:space="preserve">Consignment Ref</t>
  </si>
  <si>
    <t xml:space="preserve">Unique ID for the shipment batch.</t>
  </si>
  <si>
    <t xml:space="preserve">The date the goods cleared UK customs.</t>
  </si>
  <si>
    <t xml:space="preserve">The nation where the steel was produced.</t>
  </si>
  <si>
    <t xml:space="preserve">Net weight of imported steel (excl. packaging); base data for emission calculations.</t>
  </si>
  <si>
    <t xml:space="preserve">Product</t>
  </si>
  <si>
    <t xml:space="preserve">Classified as "BF-BOF (Blast Furnace-Basic Oxygen Furnace)" or "EAF (Electric Arc Furnace)" for record-keeping; intensity data already reflects the process.</t>
  </si>
  <si>
    <t xml:space="preserve">Actual Intensity (tCO₂e / t Steel)</t>
  </si>
  <si>
    <t xml:space="preserve">Unit emissions provided by producer (verified by GACI); defaults to the steel emission factor (tCO₂e / ton of steel) in the "basic parameter" worksheet if unavailable.</t>
  </si>
  <si>
    <t xml:space="preserve">Weight of UK-sourced Precursor (t)</t>
  </si>
  <si>
    <t xml:space="preserve">Deduction for UK-origin scrap/ore</t>
  </si>
  <si>
    <t xml:space="preserve">Eligibility for Carbon Price Relief (CPR): Select "Yes" if carbon tax was paid in the exporting country; select "No" to have CPR = 0 and pay full CBAM liability.</t>
  </si>
  <si>
    <t xml:space="preserve">Carbon Price Coverage Ratio (%)</t>
  </si>
  <si>
    <t xml:space="preserve">Percentage of emissions subject to carbon tax in the exporting country (only fill in if carbon tax was paid there; e.g., 80% means 80% of emissions are eligible for relief).</t>
  </si>
  <si>
    <t xml:space="preserve">Consignment Value (GBP)</t>
  </si>
  <si>
    <t xml:space="preserve">Total value for the £50,000 threshold check; mandatory registration if exceeded.</t>
  </si>
  <si>
    <t xml:space="preserve">Embedded Emissions (tCO₂e)</t>
  </si>
  <si>
    <t xml:space="preserve">Total carbon footprint. Formula: [Import Weight] × [Actual Emission Intensity]; if [Actual Emission Intensity] is empty, use [Import Weight] × [Default Steel Emission Factor in "basic parameter"].</t>
  </si>
  <si>
    <t xml:space="preserve">Automated Calculated</t>
  </si>
  <si>
    <t xml:space="preserve">Adjusted Emissions (tCO₂e)</t>
  </si>
  <si>
    <t xml:space="preserve">Emissions after UK precursor deduction. Formula: [Embedded Emissions] - [Precursor Deduction].</t>
  </si>
  <si>
    <t xml:space="preserve">Current Effective CBAM Rate (GBP/tCO₂e)</t>
  </si>
  <si>
    <t xml:space="preserve">Current effective CBAM levy rate for the quarter. Formula: [UK ETS Quarterly Average Price in "basic parameter"] × [Free Allocation Adjustment Factor in "basic parameter"].</t>
  </si>
  <si>
    <t xml:space="preserve">Total CBAM Charge (GBP)</t>
  </si>
  <si>
    <t xml:space="preserve">Gross liability before relief. Formula: [Adjusted Emissions] × [UK Levy Rate (C2)].</t>
  </si>
  <si>
    <t xml:space="preserve">Carbon Price Relief (CPR) (GBP)</t>
  </si>
  <si>
    <t xml:space="preserve">Offset for local taxes paid. Formula: [Adjusted Emissions] × [Coverage %] × [Local Price] × [FX].</t>
  </si>
  <si>
    <t xml:space="preserve">Final CBAM Liability (GBP)</t>
  </si>
  <si>
    <t xml:space="preserve">C17</t>
  </si>
  <si>
    <t xml:space="preserve">Net amount payable to HMRC. Formula: [Total Charge] - [Carbon Price Relief].</t>
  </si>
  <si>
    <t xml:space="preserve">Mandatory Registration Requirement</t>
  </si>
  <si>
    <t xml:space="preserve">Checks if [Consignment Value] ≥ [Registration Threshold (£50k)]; mandatory if "Yes".</t>
  </si>
  <si>
    <t xml:space="preserve">Potential Compliance Penalty (GBP)</t>
  </si>
  <si>
    <t xml:space="preserve">Fine for failure to register (calculated based on the base penalty amount in C9).</t>
  </si>
  <si>
    <t xml:space="preserve">DPP Implementation Cost (GBP)</t>
  </si>
  <si>
    <t xml:space="preserve">C20</t>
  </si>
  <si>
    <t xml:space="preserve">Total cost for data tracking. Formula: [Import Weight] × [DPP Unit Cost in basic parameter C10].</t>
  </si>
  <si>
    <t xml:space="preserve">Net DPP Economic Benefit (GBP)</t>
  </si>
  <si>
    <t xml:space="preserve">C21</t>
  </si>
  <si>
    <t xml:space="preserve">Formula: (Default - Actual) × Tax Rate - (DPP Cost + Penalty). Total savings via DPP adoption.</t>
  </si>
  <si>
    <t xml:space="preserve">Batch  1</t>
  </si>
  <si>
    <t xml:space="preserve">Batch  2</t>
  </si>
  <si>
    <t xml:space="preserve">EAF</t>
  </si>
  <si>
    <t xml:space="preserve">Batch  3</t>
  </si>
  <si>
    <t xml:space="preserve">Batch  4</t>
  </si>
  <si>
    <t xml:space="preserve">Sample consignments updated with realistic 2024 UK import distribution (HMRC uktradeinfo + UK Steel Key Stats 2024). Country-route intensities from "country factors" sheet. Dates set to Q1 2027 (UK CBAM live date).</t>
  </si>
  <si>
    <t xml:space="preserve">SIM-001</t>
  </si>
  <si>
    <t xml:space="preserve">SIM-002</t>
  </si>
  <si>
    <t xml:space="preserve">SIM-003</t>
  </si>
  <si>
    <t xml:space="preserve">SIM-004</t>
  </si>
  <si>
    <t xml:space="preserve">SIM-005</t>
  </si>
  <si>
    <t xml:space="preserve">SIM-006</t>
  </si>
  <si>
    <t xml:space="preserve">BELGIUM</t>
  </si>
  <si>
    <t xml:space="preserve">SIM-007</t>
  </si>
  <si>
    <t xml:space="preserve">SIM-008</t>
  </si>
  <si>
    <t xml:space="preserve">SIM-009</t>
  </si>
  <si>
    <t xml:space="preserve">SIM-010</t>
  </si>
  <si>
    <t xml:space="preserve">SIM-011</t>
  </si>
  <si>
    <t xml:space="preserve">SIM-012</t>
  </si>
  <si>
    <t xml:space="preserve">SIM-013</t>
  </si>
  <si>
    <t xml:space="preserve">SIM-014</t>
  </si>
  <si>
    <t xml:space="preserve">SIM-015</t>
  </si>
  <si>
    <t xml:space="preserve">SIM-016</t>
  </si>
  <si>
    <t xml:space="preserve">SIM-017</t>
  </si>
  <si>
    <t xml:space="preserve">SIM-018</t>
  </si>
  <si>
    <t xml:space="preserve">SIM-019</t>
  </si>
  <si>
    <t xml:space="preserve">SIM-020</t>
  </si>
  <si>
    <t xml:space="preserve">SIM-021</t>
  </si>
  <si>
    <t xml:space="preserve">SIM-022</t>
  </si>
  <si>
    <t xml:space="preserve">SIM-023</t>
  </si>
  <si>
    <t xml:space="preserve">SIM-024</t>
  </si>
  <si>
    <t xml:space="preserve">SIM-025</t>
  </si>
  <si>
    <t xml:space="preserve">SIM-026</t>
  </si>
  <si>
    <t xml:space="preserve">SIM-027</t>
  </si>
  <si>
    <t xml:space="preserve">SIM-028</t>
  </si>
  <si>
    <t xml:space="preserve">SIM-029</t>
  </si>
  <si>
    <t xml:space="preserve">SIM-030</t>
  </si>
  <si>
    <t xml:space="preserve">SIM-031</t>
  </si>
  <si>
    <t xml:space="preserve">SIM-032</t>
  </si>
  <si>
    <t xml:space="preserve">SIM-033</t>
  </si>
  <si>
    <t xml:space="preserve">SIM-034</t>
  </si>
  <si>
    <t xml:space="preserve">SIM-035</t>
  </si>
  <si>
    <t xml:space="preserve">SIM-036</t>
  </si>
  <si>
    <t xml:space="preserve">SIM-037</t>
  </si>
  <si>
    <t xml:space="preserve">SIM-038</t>
  </si>
  <si>
    <t xml:space="preserve">SIM-039</t>
  </si>
  <si>
    <t xml:space="preserve">SIM-040</t>
  </si>
  <si>
    <t xml:space="preserve">SIM-041</t>
  </si>
  <si>
    <t xml:space="preserve">SIM-042</t>
  </si>
  <si>
    <t xml:space="preserve">SIM-043</t>
  </si>
  <si>
    <t xml:space="preserve">SIM-044</t>
  </si>
  <si>
    <t xml:space="preserve">SIM-045</t>
  </si>
  <si>
    <t xml:space="preserve">SIM-046</t>
  </si>
  <si>
    <t xml:space="preserve">SIM-047</t>
  </si>
  <si>
    <t xml:space="preserve">SIM-048</t>
  </si>
  <si>
    <t xml:space="preserve">SIM-049</t>
  </si>
  <si>
    <t xml:space="preserve">SIM-050</t>
  </si>
  <si>
    <t xml:space="preserve">SIM-051</t>
  </si>
  <si>
    <t xml:space="preserve">SIM-052</t>
  </si>
  <si>
    <t xml:space="preserve">SIM-053</t>
  </si>
  <si>
    <t xml:space="preserve">SIM-054</t>
  </si>
  <si>
    <t xml:space="preserve">SIM-055</t>
  </si>
  <si>
    <t xml:space="preserve">SIM-056</t>
  </si>
  <si>
    <t xml:space="preserve">SIM-057</t>
  </si>
  <si>
    <t xml:space="preserve">SIM-058</t>
  </si>
  <si>
    <t xml:space="preserve">SIM-059</t>
  </si>
  <si>
    <t xml:space="preserve">SIM-060</t>
  </si>
  <si>
    <t xml:space="preserve">SIM-061</t>
  </si>
  <si>
    <t xml:space="preserve">SIM-062</t>
  </si>
  <si>
    <t xml:space="preserve">SIM-063</t>
  </si>
  <si>
    <t xml:space="preserve">SIM-064</t>
  </si>
  <si>
    <t xml:space="preserve">SIM-065</t>
  </si>
  <si>
    <t xml:space="preserve">SIM-066</t>
  </si>
  <si>
    <t xml:space="preserve">SIM-067</t>
  </si>
  <si>
    <t xml:space="preserve">SIM-068</t>
  </si>
  <si>
    <t xml:space="preserve">SIM-069</t>
  </si>
  <si>
    <t xml:space="preserve">SIM-070</t>
  </si>
  <si>
    <t xml:space="preserve">SIM-071</t>
  </si>
  <si>
    <t xml:space="preserve">SIM-072</t>
  </si>
  <si>
    <t xml:space="preserve">SIM-073</t>
  </si>
  <si>
    <t xml:space="preserve">SIM-074</t>
  </si>
  <si>
    <t xml:space="preserve">SIM-075</t>
  </si>
  <si>
    <t xml:space="preserve">SIM-076</t>
  </si>
  <si>
    <t xml:space="preserve">SIM-077</t>
  </si>
  <si>
    <t xml:space="preserve">SIM-078</t>
  </si>
  <si>
    <t xml:space="preserve">SIM-079</t>
  </si>
  <si>
    <t xml:space="preserve">SIM-080</t>
  </si>
  <si>
    <t xml:space="preserve">SIM-081</t>
  </si>
  <si>
    <t xml:space="preserve">SIM-082</t>
  </si>
  <si>
    <t xml:space="preserve">SIM-083</t>
  </si>
  <si>
    <t xml:space="preserve">SIM-084</t>
  </si>
  <si>
    <t xml:space="preserve">SIM-085</t>
  </si>
  <si>
    <t xml:space="preserve">SIM-086</t>
  </si>
  <si>
    <t xml:space="preserve">SIM-087</t>
  </si>
  <si>
    <t xml:space="preserve">SIM-088</t>
  </si>
  <si>
    <t xml:space="preserve">SIM-089</t>
  </si>
  <si>
    <t xml:space="preserve">SIM-090</t>
  </si>
  <si>
    <t xml:space="preserve">SIM-091</t>
  </si>
  <si>
    <t xml:space="preserve">SIM-092</t>
  </si>
  <si>
    <t xml:space="preserve">SIM-093</t>
  </si>
  <si>
    <t xml:space="preserve">SIM-094</t>
  </si>
  <si>
    <t xml:space="preserve">SIM-095</t>
  </si>
  <si>
    <t xml:space="preserve">SIM-096</t>
  </si>
  <si>
    <t xml:space="preserve">SIM-097</t>
  </si>
  <si>
    <t xml:space="preserve">SIM-098</t>
  </si>
  <si>
    <t xml:space="preserve">SIM-099</t>
  </si>
  <si>
    <t xml:space="preserve">SIM-100</t>
  </si>
  <si>
    <t xml:space="preserve">SUMMARY</t>
  </si>
  <si>
    <t xml:space="preserve">Total Import Weight (t):</t>
  </si>
  <si>
    <t xml:space="preserve">Total Embedded Emissions (tCO₂e):</t>
  </si>
  <si>
    <t xml:space="preserve">Total Final CBAM Liability (GBP):</t>
  </si>
  <si>
    <t xml:space="preserve">Total CPR Applied (GBP):</t>
  </si>
  <si>
    <t xml:space="preserve">Average Liability per Consignment (GBP):</t>
  </si>
  <si>
    <t xml:space="preserve">Consignments Above Alert Threshold:</t>
  </si>
  <si>
    <t xml:space="preserve">Data generated synthetically — country distribution weighted by 2024 UK import shares (HMRC uktradeinfo + UK Steel Key Stats 2024). Intensities from "country factors" sheet with ±5% noise.</t>
  </si>
  <si>
    <t xml:space="preserve">Country/territory</t>
  </si>
  <si>
    <t xml:space="preserve">Currency</t>
  </si>
  <si>
    <t xml:space="preserve">Currency code</t>
  </si>
  <si>
    <t xml:space="preserve">Currency units per £1</t>
  </si>
  <si>
    <t xml:space="preserve">Start date</t>
  </si>
  <si>
    <t xml:space="preserve">End date</t>
  </si>
  <si>
    <t xml:space="preserve">India</t>
  </si>
  <si>
    <t xml:space="preserve">Rupee</t>
  </si>
  <si>
    <t xml:space="preserve">INR</t>
  </si>
  <si>
    <t xml:space="preserve">1 Apr 2026</t>
  </si>
  <si>
    <t xml:space="preserve">30 Apr 2026</t>
  </si>
  <si>
    <t xml:space="preserve">1 Mar 2026</t>
  </si>
  <si>
    <t xml:space="preserve">31 Mar 2026</t>
  </si>
  <si>
    <t xml:space="preserve">1 Feb 2026</t>
  </si>
  <si>
    <t xml:space="preserve">28 Feb 2026</t>
  </si>
  <si>
    <t xml:space="preserve">1 Jan 2026</t>
  </si>
  <si>
    <t xml:space="preserve">31 Jan 2026</t>
  </si>
  <si>
    <t xml:space="preserve">1 Dec 2025</t>
  </si>
  <si>
    <t xml:space="preserve">31 Dec 2025</t>
  </si>
  <si>
    <t xml:space="preserve">1 Nov 2025</t>
  </si>
  <si>
    <t xml:space="preserve">30 Nov 2025</t>
  </si>
  <si>
    <t xml:space="preserve">1 Oct 2025</t>
  </si>
  <si>
    <t xml:space="preserve">31 Oct 2025</t>
  </si>
  <si>
    <t xml:space="preserve">1 Sep 2025</t>
  </si>
  <si>
    <t xml:space="preserve">30 Sep 2025</t>
  </si>
  <si>
    <t xml:space="preserve">1 Aug 2025</t>
  </si>
  <si>
    <t xml:space="preserve">31 Aug 2025</t>
  </si>
  <si>
    <t xml:space="preserve">1 Jul 2025</t>
  </si>
  <si>
    <t xml:space="preserve">31 Jul 2025</t>
  </si>
  <si>
    <t xml:space="preserve">1 Jun 2025</t>
  </si>
  <si>
    <t xml:space="preserve">30 Jun 2025</t>
  </si>
  <si>
    <t xml:space="preserve">1 May 2025</t>
  </si>
  <si>
    <t xml:space="preserve">31 May 2025</t>
  </si>
  <si>
    <t xml:space="preserve">1 Apr 2025</t>
  </si>
  <si>
    <t xml:space="preserve">30 Apr 2025</t>
  </si>
  <si>
    <t xml:space="preserve">1 Mar 2025</t>
  </si>
  <si>
    <t xml:space="preserve">31 Mar 2025</t>
  </si>
  <si>
    <t xml:space="preserve">ndia</t>
  </si>
  <si>
    <t xml:space="preserve">1 Feb 2025</t>
  </si>
  <si>
    <t xml:space="preserve">28 Feb 2025</t>
  </si>
  <si>
    <t xml:space="preserve">1 Jan 2025</t>
  </si>
  <si>
    <t xml:space="preserve">31 Jan 2025</t>
  </si>
  <si>
    <t xml:space="preserve">1 Dec 2024</t>
  </si>
  <si>
    <t xml:space="preserve">31 Dec 2024</t>
  </si>
  <si>
    <t xml:space="preserve">1 Nov 2024</t>
  </si>
  <si>
    <t xml:space="preserve">30 Nov 2024</t>
  </si>
  <si>
    <t xml:space="preserve">1 Oct 2024</t>
  </si>
  <si>
    <t xml:space="preserve">31 Oct 2024</t>
  </si>
  <si>
    <t xml:space="preserve">1 Sep 2024</t>
  </si>
  <si>
    <t xml:space="preserve">30 Sep 2024</t>
  </si>
  <si>
    <t xml:space="preserve">1 Aug 2024</t>
  </si>
  <si>
    <t xml:space="preserve">31 Aug 2024</t>
  </si>
  <si>
    <t xml:space="preserve">1 Jul 2024</t>
  </si>
  <si>
    <t xml:space="preserve">31 Jul 2024</t>
  </si>
  <si>
    <t xml:space="preserve">1 Jun 2024</t>
  </si>
  <si>
    <t xml:space="preserve">30 Jun 2024</t>
  </si>
  <si>
    <t xml:space="preserve">1 May 2024</t>
  </si>
  <si>
    <t xml:space="preserve">31 May 2024</t>
  </si>
  <si>
    <t xml:space="preserve">1 Apr 2024</t>
  </si>
  <si>
    <t xml:space="preserve">30 Apr 2024</t>
  </si>
  <si>
    <t xml:space="preserve">1 Mar 2024</t>
  </si>
  <si>
    <t xml:space="preserve">31 Mar 2024</t>
  </si>
  <si>
    <t xml:space="preserve">1 Feb 2024</t>
  </si>
  <si>
    <t xml:space="preserve">29 Feb 2024</t>
  </si>
  <si>
    <t xml:space="preserve">1 Jan 2024</t>
  </si>
  <si>
    <t xml:space="preserve">31 Jan 2024</t>
  </si>
  <si>
    <t xml:space="preserve">If you want othr time , tell me</t>
  </si>
  <si>
    <t xml:space="preserve">resource</t>
  </si>
  <si>
    <t xml:space="preserve">https://www.gov.uk/government/collections/exchange-rates-for-customs-and-vat</t>
  </si>
  <si>
    <t xml:space="preserve">typeCode</t>
  </si>
  <si>
    <t xml:space="preserve">freqCode</t>
  </si>
  <si>
    <t xml:space="preserve">refPeriodId</t>
  </si>
  <si>
    <t xml:space="preserve">refYear</t>
  </si>
  <si>
    <t xml:space="preserve">refMonth</t>
  </si>
  <si>
    <t xml:space="preserve">period</t>
  </si>
  <si>
    <t xml:space="preserve">reporterCode</t>
  </si>
  <si>
    <t xml:space="preserve">reporterISO</t>
  </si>
  <si>
    <t xml:space="preserve">reporterDesc</t>
  </si>
  <si>
    <t xml:space="preserve">flowCode</t>
  </si>
  <si>
    <t xml:space="preserve">flowDesc</t>
  </si>
  <si>
    <t xml:space="preserve">partnerCode</t>
  </si>
  <si>
    <t xml:space="preserve">partnerISO</t>
  </si>
  <si>
    <t xml:space="preserve">partnerDesc</t>
  </si>
  <si>
    <t xml:space="preserve">partner2Code</t>
  </si>
  <si>
    <t xml:space="preserve">partner2ISO</t>
  </si>
  <si>
    <t xml:space="preserve">partner2Desc</t>
  </si>
  <si>
    <t xml:space="preserve">classificationCode</t>
  </si>
  <si>
    <t xml:space="preserve">classificationSearchCode</t>
  </si>
  <si>
    <t xml:space="preserve">isOriginalClassification</t>
  </si>
  <si>
    <t xml:space="preserve">cmdCode</t>
  </si>
  <si>
    <t xml:space="preserve">cmdDesc</t>
  </si>
  <si>
    <t xml:space="preserve">aggrLevel</t>
  </si>
  <si>
    <t xml:space="preserve">isLeaf</t>
  </si>
  <si>
    <t xml:space="preserve">customsCode</t>
  </si>
  <si>
    <t xml:space="preserve">customsDesc</t>
  </si>
  <si>
    <t xml:space="preserve">mosCode</t>
  </si>
  <si>
    <t xml:space="preserve">motCode</t>
  </si>
  <si>
    <t xml:space="preserve">motDesc</t>
  </si>
  <si>
    <t xml:space="preserve">qtyUnitCode</t>
  </si>
  <si>
    <t xml:space="preserve">qtyUnitAbbr</t>
  </si>
  <si>
    <t xml:space="preserve">qty</t>
  </si>
  <si>
    <t xml:space="preserve">isQtyEstimated</t>
  </si>
  <si>
    <t xml:space="preserve">altQtyUnitCode</t>
  </si>
  <si>
    <t xml:space="preserve">altQtyUnitAbbr</t>
  </si>
  <si>
    <t xml:space="preserve">altQty</t>
  </si>
  <si>
    <t xml:space="preserve">isAltQtyEstimated</t>
  </si>
  <si>
    <t xml:space="preserve">Net Weight (kg)</t>
  </si>
  <si>
    <t xml:space="preserve">isNetWgtEstimated</t>
  </si>
  <si>
    <t xml:space="preserve">grossWgt</t>
  </si>
  <si>
    <t xml:space="preserve">isGrossWgtEstimated</t>
  </si>
  <si>
    <t xml:space="preserve">cifvalue</t>
  </si>
  <si>
    <t xml:space="preserve">fobvalue</t>
  </si>
  <si>
    <t xml:space="preserve">Trade Value (US$)</t>
  </si>
  <si>
    <t xml:space="preserve">legacyEstimationFlag</t>
  </si>
  <si>
    <t xml:space="preserve">isReported</t>
  </si>
  <si>
    <t xml:space="preserve">isAggregate</t>
  </si>
  <si>
    <t xml:space="preserve">C</t>
  </si>
  <si>
    <t xml:space="preserve">A</t>
  </si>
  <si>
    <t xml:space="preserve">IND</t>
  </si>
  <si>
    <t xml:space="preserve">M</t>
  </si>
  <si>
    <t xml:space="preserve">Import</t>
  </si>
  <si>
    <t xml:space="preserve">GBR</t>
  </si>
  <si>
    <t xml:space="preserve">United Kingdom</t>
  </si>
  <si>
    <t xml:space="preserve">W00</t>
  </si>
  <si>
    <t xml:space="preserve">World</t>
  </si>
  <si>
    <t xml:space="preserve">H4</t>
  </si>
  <si>
    <t xml:space="preserve">HS</t>
  </si>
  <si>
    <t xml:space="preserve">Iron or non-alloy steel; flat-rolled products of a width of 600mm or more, hot-rolled, not clad, plated or coated</t>
  </si>
  <si>
    <t xml:space="preserve">C00</t>
  </si>
  <si>
    <t xml:space="preserve">TOTAL CPC</t>
  </si>
  <si>
    <t xml:space="preserve">TOTAL MOT</t>
  </si>
  <si>
    <t xml:space="preserve">kg</t>
  </si>
  <si>
    <t xml:space="preserve">N/A</t>
  </si>
  <si>
    <t xml:space="preserve">H5</t>
  </si>
  <si>
    <t xml:space="preserve">H6</t>
  </si>
  <si>
    <t xml:space="preserve">Iron or non-alloy steel; flat-rolled products, width 600mm or more, clad, plated or coated</t>
  </si>
  <si>
    <t xml:space="preserve">Tubes, pipes and hollow profiles, seamless, of iron (other than cast iron) or steel</t>
  </si>
  <si>
    <t xml:space="preserve">They are different product but relative to steel</t>
  </si>
  <si>
    <t xml:space="preserve">https://comtradeplus.un.org/TradeFlow?Frequency=A&amp;Flows=M&amp;CommodityCodes=7208&amp;Partners=826&amp;Reporters=699&amp;period=recent&amp;AggregateBy=none&amp;BreakdownMode=plus</t>
  </si>
  <si>
    <t xml:space="preserve">Steel demand</t>
  </si>
  <si>
    <t xml:space="preserve">Rebar</t>
  </si>
  <si>
    <t xml:space="preserve">Sections</t>
  </si>
  <si>
    <t xml:space="preserve">Wire Rods</t>
  </si>
  <si>
    <t xml:space="preserve">Other Long Steel</t>
  </si>
  <si>
    <t xml:space="preserve">Plates</t>
  </si>
  <si>
    <t xml:space="preserve">Hot / Cold Rolled Coil</t>
  </si>
  <si>
    <t xml:space="preserve">Hot Dipped Galvanised</t>
  </si>
  <si>
    <t xml:space="preserve">Electrical Steel</t>
  </si>
  <si>
    <t xml:space="preserve">Other Flat Steel</t>
  </si>
  <si>
    <t xml:space="preserve">Other Steel</t>
  </si>
  <si>
    <t xml:space="preserve">Total</t>
  </si>
  <si>
    <t xml:space="preserve">from uk government</t>
  </si>
  <si>
    <t xml:space="preserve">https://www.gov.uk/government/publications/steel-strategy/the-uk-steel-strategy-web-version</t>
  </si>
  <si>
    <t xml:space="preserve">No. installations</t>
  </si>
  <si>
    <t xml:space="preserve">Emissions 2021</t>
  </si>
  <si>
    <t xml:space="preserve">Emissions 2022</t>
  </si>
  <si>
    <t xml:space="preserve">Emissions 2023</t>
  </si>
  <si>
    <t xml:space="preserve">FA 2021</t>
  </si>
  <si>
    <t xml:space="preserve">FA 2022</t>
  </si>
  <si>
    <t xml:space="preserve">FA 2023</t>
  </si>
  <si>
    <t xml:space="preserve">Iron &amp; Steel</t>
  </si>
  <si>
    <t xml:space="preserve">This data is from the official website of the British government. (only 3 years data)</t>
  </si>
  <si>
    <t xml:space="preserve">https://www.gov.uk/government/consultations/uk-emissions-trading-scheme-free-allocation-review-carbon-leakage/analytical-annex-free-allocation-for-carbon-border-adjustment-mechanism-cbam-sectors-html</t>
  </si>
  <si>
    <t xml:space="preserve">We want to get 'FA adjustment = 1 − (FA proportion × reduction factor)'</t>
  </si>
  <si>
    <t xml:space="preserve">we can get FA proportion from table: FA proportion = FA / Emissions</t>
  </si>
  <si>
    <t xml:space="preserve">2021 FA propoortion</t>
  </si>
  <si>
    <t xml:space="preserve">2022 FA propoortion</t>
  </si>
  <si>
    <t xml:space="preserve">2023 FA propoortion</t>
  </si>
  <si>
    <t xml:space="preserve">Reduction factor require assumption </t>
  </si>
  <si>
    <t xml:space="preserve">Reduction factor</t>
  </si>
  <si>
    <t xml:space="preserve">FA Adjustment 2021</t>
  </si>
  <si>
    <t xml:space="preserve">FA Adjustment 2022</t>
  </si>
  <si>
    <t xml:space="preserve">FA Adjustment 2023</t>
  </si>
  <si>
    <t xml:space="preserve">Avarage FA</t>
  </si>
  <si>
    <t xml:space="preserve">There are only three years of data available. If you need the data for 2024 or 2025, you can calculate it based on the average of 2021 to 2023.</t>
  </si>
  <si>
    <r>
      <rPr>
        <sz val="11"/>
        <color theme="1"/>
        <rFont val="等线"/>
        <family val="0"/>
        <charset val="134"/>
      </rPr>
      <t xml:space="preserve">India CO2 intensity in 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等线"/>
        <family val="0"/>
        <charset val="134"/>
      </rPr>
      <t xml:space="preserve">BF-BOF</t>
    </r>
    <r>
      <rPr>
        <sz val="11"/>
        <color theme="1"/>
        <rFont val="Noto Sans CJK SC"/>
        <family val="2"/>
      </rPr>
      <t xml:space="preserve">）</t>
    </r>
  </si>
  <si>
    <t xml:space="preserve">2.43 tCO₂e / tonne</t>
  </si>
  <si>
    <t xml:space="preserve">Tata Steel Integrated Report 2024–25</t>
  </si>
  <si>
    <t xml:space="preserve">India → UK CBAM Scenario Analysis</t>
  </si>
  <si>
    <t xml:space="preserve">Base consignment: 2,500t BF-BOF steel from India (highest-exposure route). CPR = £0 (India has no qualifying carbon price).</t>
  </si>
  <si>
    <t xml:space="preserve">Scenario</t>
  </si>
  <si>
    <t xml:space="preserve">Name</t>
  </si>
  <si>
    <t xml:space="preserve">Carbon price change (%)</t>
  </si>
  <si>
    <t xml:space="preserve">Emission intensity change (%)</t>
  </si>
  <si>
    <t xml:space="preserve">DPP cost change (%)</t>
  </si>
  <si>
    <t xml:space="preserve">Final CBAM liability (£)</t>
  </si>
  <si>
    <t xml:space="preserve">Net DPP benefit (£)</t>
  </si>
  <si>
    <t xml:space="preserve">Baseline</t>
  </si>
  <si>
    <t xml:space="preserve">Current rates — no change to carbon price, intensity, or DPP cost.</t>
  </si>
  <si>
    <t xml:space="preserve">High carbon price</t>
  </si>
  <si>
    <t xml:space="preserve">50% carbon price rise — simulates aggressive UK ETS tightening post-2027.</t>
  </si>
  <si>
    <t xml:space="preserve">Low carbon price</t>
  </si>
  <si>
    <t xml:space="preserve">30% carbon price fall — models market cooling or policy delay.</t>
  </si>
  <si>
    <t xml:space="preserve">Green steel route</t>
  </si>
  <si>
    <t xml:space="preserve">20% emission intensity cut — India adopts EAF or DRI-H₂ production.</t>
  </si>
  <si>
    <t xml:space="preserve">High DPP cost</t>
  </si>
  <si>
    <t xml:space="preserve">20% rise in DPP implementation costs — models admin/tracking overruns.</t>
  </si>
  <si>
    <t xml:space="preserve">How to read this table</t>
  </si>
  <si>
    <t xml:space="preserve">Final CBAM Liability</t>
  </si>
  <si>
    <t xml:space="preserve">The amount the UK importer must pay HMRC after CBAM goes live in 2027. For India this is always the gross charge — there is no CPR offset.</t>
  </si>
  <si>
    <t xml:space="preserve">Net DPP Benefit</t>
  </si>
  <si>
    <t xml:space="preserve">Whether adopting a Digital Product Passport saves money vs costs money. Positive = DPP is worth it. Negative = DPP costs more than it saves (India is typically negative because actual emissions exceed the default benchmark).</t>
  </si>
  <si>
    <t xml:space="preserve">Carbon price change</t>
  </si>
  <si>
    <t xml:space="preserve">Simulates UK ETS price rising or falling. A 50% rise makes CBAM more expensive AND increases the penalty for high emitters like India.</t>
  </si>
  <si>
    <t xml:space="preserve">Emission intensity change</t>
  </si>
  <si>
    <t xml:space="preserve">Simulates India adopting greener production. A 20% cut (green steel scenario) reduces both the CBAM charge and improves the DPP benefit case.</t>
  </si>
  <si>
    <t xml:space="preserve">DPP cost change</t>
  </si>
  <si>
    <t xml:space="preserve">Tests whether rising admin costs erode the DPP business case. Since India's Net DPP benefit is already negative, higher DPP costs make it worse.</t>
  </si>
  <si>
    <t xml:space="preserve">High carbon price (+50%)</t>
  </si>
  <si>
    <t xml:space="preserve">Low carbon price (-30%)</t>
  </si>
  <si>
    <t xml:space="preserve">Green steel route (Emission intensity -20%)</t>
  </si>
  <si>
    <t xml:space="preserve">Culculation Way</t>
  </si>
  <si>
    <t xml:space="preserve">Number</t>
  </si>
  <si>
    <t xml:space="preserve">CBAM Liability £</t>
  </si>
  <si>
    <t xml:space="preserve">UK CBAM Liability - CPR</t>
  </si>
  <si>
    <t xml:space="preserve">UK CBAM Liability  £</t>
  </si>
  <si>
    <t xml:space="preserve">Import Embodied emissions - CBAM Rate</t>
  </si>
  <si>
    <t xml:space="preserve">CPR £</t>
  </si>
  <si>
    <t xml:space="preserve">Effective Carbon Price * Embodied emissions </t>
  </si>
  <si>
    <t xml:space="preserve">     </t>
  </si>
  <si>
    <t xml:space="preserve">Import Embodied emissions (tCO2e)</t>
  </si>
  <si>
    <t xml:space="preserve">Emission Intensity * Net weight of Commodity</t>
  </si>
  <si>
    <r>
      <rPr>
        <sz val="11"/>
        <color theme="1"/>
        <rFont val="Calibri"/>
        <family val="2"/>
        <charset val="1"/>
      </rPr>
      <t xml:space="preserve">CBAM Rate 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£/tCO2e</t>
    </r>
    <r>
      <rPr>
        <sz val="11"/>
        <color theme="1"/>
        <rFont val="Noto Sans CJK SC"/>
        <family val="2"/>
      </rPr>
      <t xml:space="preserve">）</t>
    </r>
  </si>
  <si>
    <t xml:space="preserve">Avearge EST price * Free allocation adjustment</t>
  </si>
  <si>
    <t xml:space="preserve">    </t>
  </si>
  <si>
    <t xml:space="preserve">Emission intensity </t>
  </si>
  <si>
    <t xml:space="preserve">Net weight of commodity(t)</t>
  </si>
  <si>
    <t xml:space="preserve">Avearge EST Price ( £ )</t>
  </si>
  <si>
    <t xml:space="preserve">Free allocation Adjustment</t>
  </si>
  <si>
    <r>
      <rPr>
        <sz val="11"/>
        <color theme="1"/>
        <rFont val="Calibri"/>
        <family val="2"/>
        <charset val="1"/>
      </rPr>
      <t xml:space="preserve">Effecitive Carbon Price  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£/tCO2e</t>
    </r>
    <r>
      <rPr>
        <sz val="11"/>
        <color theme="1"/>
        <rFont val="Noto Sans CJK SC"/>
        <family val="2"/>
      </rPr>
      <t xml:space="preserve">）</t>
    </r>
  </si>
  <si>
    <t xml:space="preserve">Embodied emissions</t>
  </si>
  <si>
    <t xml:space="preserve">Update data</t>
  </si>
  <si>
    <t xml:space="preserve">Carbon price</t>
  </si>
  <si>
    <t xml:space="preserve">£11.1</t>
  </si>
  <si>
    <t xml:space="preserve">Free location adjustment </t>
  </si>
  <si>
    <t xml:space="preserve">CPR</t>
  </si>
  <si>
    <t xml:space="preserve">Change according to different conditions </t>
  </si>
  <si>
    <t xml:space="preserve">CORRECTION: Effective Carbon Price set to 0 for all India scenarios. India has no qualifying ETS or carbon tax — CPR = £0 always. The original £11.1 was a global average not applicable to India.</t>
  </si>
  <si>
    <t xml:space="preserve">India → UK CBAM Sensitivity Analysis</t>
  </si>
  <si>
    <t xml:space="preserve">Base case: 2,500t BF-BOF steel, India. No CPR (India has no qualifying carbon price). All figures per consignment.</t>
  </si>
  <si>
    <t xml:space="preserve">Table 1 — Carbon price sensitivity  (emission intensity held at 2.55 tCO₂e/t)</t>
  </si>
  <si>
    <t xml:space="preserve">UK ETS price (£/tCO₂e)</t>
  </si>
  <si>
    <t xml:space="preserve">Effective CBAM rate</t>
  </si>
  <si>
    <t xml:space="preserve">Final CBAM liability</t>
  </si>
  <si>
    <t xml:space="preserve">Net DPP benefit</t>
  </si>
  <si>
    <t xml:space="preserve">vs baseline</t>
  </si>
  <si>
    <t xml:space="preserve">← base case</t>
  </si>
  <si>
    <t xml:space="preserve">Table 2 — Emission intensity sensitivity  (carbon price held at £49.41/tCO₂e)</t>
  </si>
  <si>
    <t xml:space="preserve">Actual intensity (tCO₂e/t)</t>
  </si>
  <si>
    <t xml:space="preserve">Embedded emissions</t>
  </si>
  <si>
    <t xml:space="preserve">Table 3 — DPP implementation cost sensitivity  (all other variables at base case)</t>
  </si>
  <si>
    <t xml:space="preserve">DPP cost (£/tonne)</t>
  </si>
  <si>
    <t xml:space="preserve">Total DPP cost</t>
  </si>
  <si>
    <t xml:space="preserve">vs base DPP cost</t>
  </si>
  <si>
    <t xml:space="preserve">DPP worthwhile?</t>
  </si>
  <si>
    <t xml:space="preserve">No — liability too high</t>
  </si>
  <si>
    <t xml:space="preserve">Key Findings</t>
  </si>
  <si>
    <t xml:space="preserve">Every £5 rise in UK ETS price adds ~£28,404 to India consignment liability. India importers are fully exposed — no CPR buffer.</t>
  </si>
  <si>
    <t xml:space="preserve">Emission intensity</t>
  </si>
  <si>
    <t xml:space="preserve">At current intensity (2.55), CBAM liability is £280,688. If India achieves 20% intensity reduction, liability falls to £227,352.</t>
  </si>
  <si>
    <t xml:space="preserve">DPP cost</t>
  </si>
  <si>
    <t xml:space="preserve">DPP cost has minimal impact on India because Net DPP benefit is negative regardless. Even free DPP doesn't make the economics positive at current emission levels.</t>
  </si>
  <si>
    <t xml:space="preserve">Break-even intensity</t>
  </si>
  <si>
    <t xml:space="preserve">India would need to reduce emission intensity to ~1.8 tCO₂e/t (the UK default benchmark) for DPP to stop increasing CBAM exposure. That requires near-total decarbonisation of Indian steel.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</si>
</sst>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yyyy\-mm\-dd"/>
    <numFmt numFmtId="166" formatCode="#,##0"/>
    <numFmt numFmtId="167" formatCode="\£#,##0"/>
    <numFmt numFmtId="168" formatCode="#,##0.0"/>
    <numFmt numFmtId="169" formatCode="\£#,##0.00"/>
    <numFmt numFmtId="170" formatCode="@"/>
    <numFmt numFmtId="171" formatCode="\£#,##0;[RED]&quot;-£&quot;#,##0"/>
    <numFmt numFmtId="172" formatCode="General"/>
    <numFmt numFmtId="173" formatCode="m/d/yyyy"/>
    <numFmt numFmtId="174" formatCode="\£#,##0.00;&quot;(£&quot;#,##0.00\);\-"/>
    <numFmt numFmtId="175" formatCode="\+0;\-0;0"/>
    <numFmt numFmtId="176" formatCode="\£#,##0;&quot;(£&quot;#,##0\);\-"/>
    <numFmt numFmtId="177" formatCode="0.00"/>
    <numFmt numFmtId="178" formatCode="\£0.00"/>
  </numFmts>
  <fonts count="4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i val="true"/>
      <sz val="9"/>
      <color rgb="FF595959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C0000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FF"/>
      <name val="Arial"/>
      <family val="2"/>
      <charset val="1"/>
    </font>
    <font>
      <sz val="11"/>
      <color theme="1"/>
      <name val="Noto Sans CJK SC"/>
      <family val="2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Calibri"/>
      <family val="2"/>
      <charset val="134"/>
    </font>
    <font>
      <sz val="10"/>
      <color rgb="FF0000FF"/>
      <name val="Arial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2"/>
      <name val="Cambria"/>
      <family val="1"/>
      <charset val="1"/>
    </font>
    <font>
      <b val="true"/>
      <sz val="11"/>
      <color rgb="FF0B0C0C"/>
      <name val="Arial"/>
      <family val="2"/>
      <charset val="1"/>
    </font>
    <font>
      <sz val="11"/>
      <color rgb="FF0B0C0C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theme="1"/>
      <name val="等线"/>
      <family val="0"/>
      <charset val="134"/>
    </font>
    <font>
      <sz val="11"/>
      <color rgb="FFFF0000"/>
      <name val="Calibri"/>
      <family val="2"/>
      <charset val="1"/>
    </font>
    <font>
      <sz val="11"/>
      <color theme="1"/>
      <name val="等线"/>
      <family val="0"/>
      <charset val="134"/>
    </font>
    <font>
      <b val="true"/>
      <sz val="13"/>
      <color rgb="FF1F3864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b val="true"/>
      <sz val="14"/>
      <color theme="1"/>
      <name val="Calibri"/>
      <family val="2"/>
      <charset val="134"/>
    </font>
    <font>
      <b val="true"/>
      <sz val="14"/>
      <name val="Arial"/>
      <family val="2"/>
      <charset val="134"/>
    </font>
    <font>
      <sz val="14"/>
      <color theme="1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rgb="FF1F3864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9"/>
      <color rgb="FFB8860B"/>
      <name val="Arial"/>
      <family val="2"/>
      <charset val="1"/>
    </font>
    <font>
      <sz val="10"/>
      <color rgb="FFC00000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4472C4"/>
        <bgColor rgb="FF5B9BD5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rgb="FF4472C4"/>
      </patternFill>
    </fill>
    <fill>
      <patternFill patternType="solid">
        <fgColor rgb="FFD9D9D9"/>
        <bgColor rgb="FFD0CECE"/>
      </patternFill>
    </fill>
    <fill>
      <patternFill patternType="solid">
        <fgColor rgb="FF548235"/>
        <bgColor rgb="FF339966"/>
      </patternFill>
    </fill>
    <fill>
      <patternFill patternType="solid">
        <fgColor rgb="FFFFFFFF"/>
        <bgColor rgb="FFFFFBEA"/>
      </patternFill>
    </fill>
    <fill>
      <patternFill patternType="solid">
        <fgColor rgb="FF00B0F0"/>
        <bgColor rgb="FF33CCCC"/>
      </patternFill>
    </fill>
    <fill>
      <patternFill patternType="solid">
        <fgColor theme="4" tint="0.5998"/>
        <bgColor rgb="FFCECECE"/>
      </patternFill>
    </fill>
    <fill>
      <patternFill patternType="solid">
        <fgColor theme="9" tint="0.3998"/>
        <bgColor rgb="FFBFBFBF"/>
      </patternFill>
    </fill>
    <fill>
      <patternFill patternType="solid">
        <fgColor rgb="FF1F3864"/>
        <bgColor rgb="FF1F4E79"/>
      </patternFill>
    </fill>
    <fill>
      <patternFill patternType="solid">
        <fgColor rgb="FFEBF3FB"/>
        <bgColor rgb="FFE2EFDA"/>
      </patternFill>
    </fill>
    <fill>
      <patternFill patternType="solid">
        <fgColor theme="0" tint="-0.35"/>
        <bgColor rgb="FFB1B4B6"/>
      </patternFill>
    </fill>
    <fill>
      <patternFill patternType="solid">
        <fgColor theme="2" tint="-0.1"/>
        <bgColor rgb="FFCECECE"/>
      </patternFill>
    </fill>
    <fill>
      <patternFill patternType="solid">
        <fgColor theme="4" tint="0.3999"/>
        <bgColor rgb="FFB1B4B6"/>
      </patternFill>
    </fill>
    <fill>
      <patternFill patternType="solid">
        <fgColor rgb="FFD6E4F0"/>
        <bgColor rgb="FFD9D9D9"/>
      </patternFill>
    </fill>
    <fill>
      <patternFill patternType="solid">
        <fgColor rgb="FFFFFBE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ECECE"/>
      </bottom>
      <diagonal/>
    </border>
    <border diagonalUp="false" diagonalDown="false">
      <left/>
      <right/>
      <top/>
      <bottom style="medium">
        <color rgb="FFB1B4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1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1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3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2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26" fillId="11" borderId="3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4" fontId="26" fillId="11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1" borderId="3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6" fontId="27" fillId="11" borderId="3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6" fontId="27" fillId="11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3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19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1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4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3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5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4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3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44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2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5B9BD5"/>
      <rgbColor rgb="FFB1B4B6"/>
      <rgbColor rgb="FF993366"/>
      <rgbColor rgb="FFFFF2CC"/>
      <rgbColor rgb="FFEBF3FB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E4F0"/>
      <rgbColor rgb="FFE2EFDA"/>
      <rgbColor rgb="FFFFFBEA"/>
      <rgbColor rgb="FF9DC3E6"/>
      <rgbColor rgb="FFD0CECE"/>
      <rgbColor rgb="FFCECECE"/>
      <rgbColor rgb="FFFCE4D6"/>
      <rgbColor rgb="FF4472C4"/>
      <rgbColor rgb="FF33CCCC"/>
      <rgbColor rgb="FFA9D18E"/>
      <rgbColor rgb="FFD9D9D9"/>
      <rgbColor rgb="FFB8860B"/>
      <rgbColor rgb="FFFF6600"/>
      <rgbColor rgb="FF595959"/>
      <rgbColor rgb="FFA6A6A6"/>
      <rgbColor rgb="FF1F3864"/>
      <rgbColor rgb="FF339966"/>
      <rgbColor rgb="FF0B0C0C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45</xdr:row>
      <xdr:rowOff>0</xdr:rowOff>
    </xdr:from>
    <xdr:to>
      <xdr:col>8</xdr:col>
      <xdr:colOff>113040</xdr:colOff>
      <xdr:row>54</xdr:row>
      <xdr:rowOff>173160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0" y="8143920"/>
          <a:ext cx="5000040" cy="1801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gov.uk/government/consultations/uk-emissions-trading-scheme-free-allocation-review-carbon-leakage/analytical-annex-free-allocation-for-carbon-border-adjustment-mechanism-cbam-sectors-html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orldsteel.org/about-steel/facts/steelfacts/climate-action/what-is-the-average-co2-intensity-for-the-bf-bof-and-eaf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3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30" activeCellId="0" sqref="B3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55"/>
  </cols>
  <sheetData>
    <row r="1" customFormat="false" ht="27.75" hidden="false" customHeight="true" outlineLevel="0" collapsed="false">
      <c r="B1" s="2" t="s">
        <v>0</v>
      </c>
      <c r="C1" s="2"/>
      <c r="D1" s="2"/>
      <c r="E1" s="2"/>
    </row>
    <row r="2" customFormat="false" ht="14.25" hidden="false" customHeight="true" outlineLevel="0" collapsed="false">
      <c r="B2" s="3" t="s">
        <v>1</v>
      </c>
      <c r="C2" s="3"/>
      <c r="D2" s="3"/>
      <c r="E2" s="3"/>
    </row>
    <row r="4" customFormat="false" ht="14.25" hidden="false" customHeight="true" outlineLevel="0" collapsed="false">
      <c r="B4" s="4" t="s">
        <v>2</v>
      </c>
      <c r="C4" s="4"/>
      <c r="D4" s="4"/>
      <c r="E4" s="4"/>
    </row>
    <row r="5" customFormat="false" ht="14.25" hidden="false" customHeight="true" outlineLevel="0" collapsed="false">
      <c r="B5" s="5" t="s">
        <v>3</v>
      </c>
      <c r="C5" s="6" t="s">
        <v>4</v>
      </c>
      <c r="D5" s="7"/>
      <c r="E5" s="8" t="s">
        <v>5</v>
      </c>
    </row>
    <row r="6" customFormat="false" ht="14.25" hidden="false" customHeight="true" outlineLevel="0" collapsed="false">
      <c r="B6" s="5" t="s">
        <v>6</v>
      </c>
      <c r="C6" s="9" t="n">
        <v>46402</v>
      </c>
      <c r="D6" s="7" t="s">
        <v>7</v>
      </c>
      <c r="E6" s="8" t="s">
        <v>8</v>
      </c>
    </row>
    <row r="7" customFormat="false" ht="14.25" hidden="false" customHeight="true" outlineLevel="0" collapsed="false">
      <c r="B7" s="5" t="s">
        <v>9</v>
      </c>
      <c r="C7" s="6" t="s">
        <v>10</v>
      </c>
      <c r="D7" s="7"/>
      <c r="E7" s="8" t="s">
        <v>11</v>
      </c>
    </row>
    <row r="8" customFormat="false" ht="14.25" hidden="false" customHeight="true" outlineLevel="0" collapsed="false">
      <c r="B8" s="5" t="s">
        <v>12</v>
      </c>
      <c r="C8" s="10" t="n">
        <v>1000</v>
      </c>
      <c r="D8" s="7" t="s">
        <v>13</v>
      </c>
      <c r="E8" s="8" t="s">
        <v>14</v>
      </c>
    </row>
    <row r="9" customFormat="false" ht="14.25" hidden="false" customHeight="true" outlineLevel="0" collapsed="false">
      <c r="B9" s="5" t="s">
        <v>15</v>
      </c>
      <c r="C9" s="6" t="s">
        <v>16</v>
      </c>
      <c r="D9" s="7"/>
      <c r="E9" s="8" t="s">
        <v>17</v>
      </c>
    </row>
    <row r="10" customFormat="false" ht="14.25" hidden="false" customHeight="true" outlineLevel="0" collapsed="false">
      <c r="B10" s="5" t="s">
        <v>18</v>
      </c>
      <c r="C10" s="6" t="n">
        <v>2.55</v>
      </c>
      <c r="D10" s="7" t="s">
        <v>19</v>
      </c>
      <c r="E10" s="8" t="s">
        <v>20</v>
      </c>
    </row>
    <row r="11" customFormat="false" ht="14.25" hidden="false" customHeight="true" outlineLevel="0" collapsed="false">
      <c r="B11" s="5" t="s">
        <v>21</v>
      </c>
      <c r="C11" s="10" t="n">
        <v>200</v>
      </c>
      <c r="D11" s="7" t="s">
        <v>13</v>
      </c>
      <c r="E11" s="8" t="s">
        <v>22</v>
      </c>
    </row>
    <row r="12" customFormat="false" ht="14.25" hidden="false" customHeight="true" outlineLevel="0" collapsed="false">
      <c r="B12" s="5" t="s">
        <v>23</v>
      </c>
      <c r="C12" s="6" t="s">
        <v>24</v>
      </c>
      <c r="D12" s="7" t="s">
        <v>25</v>
      </c>
      <c r="E12" s="8" t="s">
        <v>26</v>
      </c>
    </row>
    <row r="13" customFormat="false" ht="14.25" hidden="false" customHeight="true" outlineLevel="0" collapsed="false">
      <c r="B13" s="5" t="s">
        <v>27</v>
      </c>
      <c r="C13" s="6" t="n">
        <v>80</v>
      </c>
      <c r="D13" s="7" t="s">
        <v>28</v>
      </c>
      <c r="E13" s="8" t="s">
        <v>29</v>
      </c>
    </row>
    <row r="14" customFormat="false" ht="14.25" hidden="false" customHeight="true" outlineLevel="0" collapsed="false">
      <c r="B14" s="5" t="s">
        <v>30</v>
      </c>
      <c r="C14" s="11" t="n">
        <v>950000</v>
      </c>
      <c r="D14" s="7" t="s">
        <v>31</v>
      </c>
      <c r="E14" s="8" t="s">
        <v>32</v>
      </c>
    </row>
    <row r="16" customFormat="false" ht="14.25" hidden="false" customHeight="true" outlineLevel="0" collapsed="false">
      <c r="B16" s="4" t="s">
        <v>33</v>
      </c>
      <c r="C16" s="4"/>
      <c r="D16" s="4"/>
      <c r="E16" s="4"/>
    </row>
    <row r="17" customFormat="false" ht="14.25" hidden="false" customHeight="true" outlineLevel="0" collapsed="false">
      <c r="B17" s="5" t="s">
        <v>34</v>
      </c>
      <c r="C17" s="12" t="n">
        <f aca="false">IF(C10&lt;&gt;"",C8*C10,C8*'basic parameter'!$C$3)</f>
        <v>2550</v>
      </c>
      <c r="D17" s="7" t="s">
        <v>35</v>
      </c>
      <c r="E17" s="8" t="s">
        <v>36</v>
      </c>
    </row>
    <row r="18" customFormat="false" ht="14.25" hidden="false" customHeight="true" outlineLevel="0" collapsed="false">
      <c r="B18" s="5" t="s">
        <v>37</v>
      </c>
      <c r="C18" s="12" t="n">
        <f aca="false">C17-(C11*'basic parameter'!$C$12)</f>
        <v>2490</v>
      </c>
      <c r="D18" s="7" t="s">
        <v>35</v>
      </c>
      <c r="E18" s="8" t="s">
        <v>38</v>
      </c>
    </row>
    <row r="19" customFormat="false" ht="14.25" hidden="false" customHeight="true" outlineLevel="0" collapsed="false">
      <c r="B19" s="5" t="s">
        <v>39</v>
      </c>
      <c r="C19" s="13" t="n">
        <f aca="false">'basic parameter'!$C$2*'basic parameter'!$C$6</f>
        <v>37.8505305</v>
      </c>
      <c r="D19" s="7" t="s">
        <v>40</v>
      </c>
      <c r="E19" s="8" t="s">
        <v>41</v>
      </c>
    </row>
    <row r="20" customFormat="false" ht="14.25" hidden="false" customHeight="true" outlineLevel="0" collapsed="false">
      <c r="B20" s="5" t="s">
        <v>42</v>
      </c>
      <c r="C20" s="14" t="n">
        <f aca="false">C18*C19</f>
        <v>94247.820945</v>
      </c>
      <c r="D20" s="7" t="s">
        <v>31</v>
      </c>
      <c r="E20" s="8" t="s">
        <v>43</v>
      </c>
    </row>
    <row r="21" customFormat="false" ht="14.25" hidden="false" customHeight="true" outlineLevel="0" collapsed="false">
      <c r="B21" s="5" t="s">
        <v>44</v>
      </c>
      <c r="C21" s="14" t="n">
        <f aca="false">IF(C12="Y",C18*C13%*'basic parameter'!$C$7*'basic parameter'!$C$9,0)</f>
        <v>0</v>
      </c>
      <c r="D21" s="7" t="s">
        <v>31</v>
      </c>
      <c r="E21" s="8" t="s">
        <v>45</v>
      </c>
    </row>
    <row r="22" customFormat="false" ht="15" hidden="false" customHeight="true" outlineLevel="0" collapsed="false">
      <c r="B22" s="5" t="s">
        <v>46</v>
      </c>
      <c r="C22" s="15" t="n">
        <f aca="false">MAX(C20-C21,0)</f>
        <v>94247.820945</v>
      </c>
      <c r="D22" s="7" t="s">
        <v>31</v>
      </c>
      <c r="E22" s="8" t="s">
        <v>47</v>
      </c>
    </row>
    <row r="23" customFormat="false" ht="14.25" hidden="false" customHeight="true" outlineLevel="0" collapsed="false">
      <c r="B23" s="5" t="s">
        <v>48</v>
      </c>
      <c r="C23" s="16" t="str">
        <f aca="false">IF(C14&gt;='basic parameter'!$C$8,"YES","NO")</f>
        <v>YES</v>
      </c>
      <c r="D23" s="7"/>
      <c r="E23" s="8" t="s">
        <v>49</v>
      </c>
    </row>
    <row r="24" customFormat="false" ht="14.25" hidden="false" customHeight="true" outlineLevel="0" collapsed="false">
      <c r="B24" s="5" t="s">
        <v>50</v>
      </c>
      <c r="C24" s="14" t="n">
        <f aca="false">IF(C23="YES",'basic parameter'!$C$11,0)</f>
        <v>5000</v>
      </c>
      <c r="D24" s="7" t="s">
        <v>31</v>
      </c>
      <c r="E24" s="8" t="s">
        <v>51</v>
      </c>
    </row>
    <row r="25" customFormat="false" ht="14.25" hidden="false" customHeight="true" outlineLevel="0" collapsed="false">
      <c r="B25" s="5" t="s">
        <v>52</v>
      </c>
      <c r="C25" s="14" t="n">
        <f aca="false">C8*'basic parameter'!$C$10</f>
        <v>2500</v>
      </c>
      <c r="D25" s="7" t="s">
        <v>31</v>
      </c>
      <c r="E25" s="8" t="s">
        <v>53</v>
      </c>
    </row>
    <row r="26" customFormat="false" ht="14.25" hidden="false" customHeight="true" outlineLevel="0" collapsed="false">
      <c r="B26" s="5" t="s">
        <v>54</v>
      </c>
      <c r="C26" s="17" t="n">
        <f aca="false">('basic parameter'!$C$3*C8-C17)*'basic parameter'!$C$2-C25-C24</f>
        <v>-44557.5</v>
      </c>
      <c r="D26" s="7" t="s">
        <v>31</v>
      </c>
      <c r="E26" s="8" t="s">
        <v>55</v>
      </c>
    </row>
    <row r="27" customFormat="false" ht="14.25" hidden="false" customHeight="true" outlineLevel="0" collapsed="false">
      <c r="B27" s="5" t="s">
        <v>56</v>
      </c>
      <c r="C27" s="16" t="str">
        <f aca="false">IF(C22&gt;'basic parameter'!$C$16,"⚠ HIGH LIABILITY","OK")</f>
        <v>⚠ HIGH LIABILITY</v>
      </c>
      <c r="D27" s="7"/>
      <c r="E27" s="8" t="s">
        <v>57</v>
      </c>
    </row>
    <row r="30" customFormat="false" ht="14.25" hidden="false" customHeight="true" outlineLevel="0" collapsed="false">
      <c r="B30" s="18" t="s">
        <v>58</v>
      </c>
    </row>
    <row r="31" customFormat="false" ht="14.25" hidden="false" customHeight="true" outlineLevel="0" collapsed="false">
      <c r="B31" s="19" t="s">
        <v>59</v>
      </c>
    </row>
    <row r="32" customFormat="false" ht="14.25" hidden="false" customHeight="true" outlineLevel="0" collapsed="false">
      <c r="B32" s="20" t="s">
        <v>60</v>
      </c>
    </row>
    <row r="33" customFormat="false" ht="14.25" hidden="false" customHeight="true" outlineLevel="0" collapsed="false">
      <c r="B33" s="21" t="s">
        <v>61</v>
      </c>
    </row>
  </sheetData>
  <mergeCells count="4">
    <mergeCell ref="B1:E1"/>
    <mergeCell ref="B2:E2"/>
    <mergeCell ref="B4:E4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9" colorId="64" zoomScale="135" zoomScaleNormal="135" zoomScalePageLayoutView="100" workbookViewId="0">
      <selection pane="topLeft" activeCell="C20" activeCellId="0" sqref="C20"/>
    </sheetView>
  </sheetViews>
  <sheetFormatPr defaultColWidth="8.4453125" defaultRowHeight="14.25" zeroHeight="false" outlineLevelRow="0" outlineLevelCol="0"/>
  <cols>
    <col collapsed="false" customWidth="true" hidden="false" outlineLevel="0" max="1" min="1" style="1" width="4.33"/>
    <col collapsed="false" customWidth="true" hidden="false" outlineLevel="0" max="2" min="2" style="1" width="43.78"/>
    <col collapsed="false" customWidth="true" hidden="false" outlineLevel="0" max="3" min="3" style="1" width="17.77"/>
    <col collapsed="false" customWidth="true" hidden="false" outlineLevel="0" max="4" min="4" style="1" width="11.67"/>
    <col collapsed="false" customWidth="true" hidden="false" outlineLevel="0" max="5" min="5" style="1" width="111.33"/>
  </cols>
  <sheetData>
    <row r="1" customFormat="false" ht="15" hidden="false" customHeight="true" outlineLevel="0" collapsed="false">
      <c r="A1" s="22" t="s">
        <v>62</v>
      </c>
      <c r="B1" s="22" t="s">
        <v>63</v>
      </c>
      <c r="C1" s="22" t="s">
        <v>64</v>
      </c>
      <c r="D1" s="22" t="s">
        <v>65</v>
      </c>
      <c r="E1" s="22" t="s">
        <v>66</v>
      </c>
    </row>
    <row r="2" customFormat="false" ht="15" hidden="false" customHeight="true" outlineLevel="0" collapsed="false">
      <c r="A2" s="22" t="n">
        <f aca="false">ROW()-1</f>
        <v>1</v>
      </c>
      <c r="B2" s="23" t="s">
        <v>67</v>
      </c>
      <c r="C2" s="24" t="n">
        <v>49.41</v>
      </c>
      <c r="D2" s="22" t="s">
        <v>68</v>
      </c>
      <c r="E2" s="22" t="s">
        <v>69</v>
      </c>
    </row>
    <row r="3" customFormat="false" ht="16.5" hidden="false" customHeight="true" outlineLevel="0" collapsed="false">
      <c r="A3" s="22" t="n">
        <f aca="false">ROW()-1</f>
        <v>2</v>
      </c>
      <c r="B3" s="22" t="s">
        <v>70</v>
      </c>
      <c r="C3" s="25" t="n">
        <v>1.8</v>
      </c>
      <c r="D3" s="22" t="s">
        <v>71</v>
      </c>
      <c r="E3" s="26" t="s">
        <v>72</v>
      </c>
    </row>
    <row r="4" s="27" customFormat="true" ht="15" hidden="false" customHeight="true" outlineLevel="0" collapsed="false">
      <c r="A4" s="27" t="n">
        <f aca="false">ROW()-1</f>
        <v>3</v>
      </c>
      <c r="B4" s="27" t="s">
        <v>73</v>
      </c>
      <c r="C4" s="28" t="n">
        <v>0.9358</v>
      </c>
      <c r="D4" s="27" t="s">
        <v>74</v>
      </c>
      <c r="E4" s="29" t="s">
        <v>75</v>
      </c>
    </row>
    <row r="5" s="27" customFormat="true" ht="15" hidden="false" customHeight="true" outlineLevel="0" collapsed="false">
      <c r="A5" s="27" t="n">
        <f aca="false">ROW()-1</f>
        <v>4</v>
      </c>
      <c r="B5" s="27" t="s">
        <v>76</v>
      </c>
      <c r="C5" s="24" t="n">
        <v>0.25</v>
      </c>
      <c r="D5" s="27" t="s">
        <v>77</v>
      </c>
      <c r="E5" s="27" t="s">
        <v>78</v>
      </c>
    </row>
    <row r="6" s="27" customFormat="true" ht="15" hidden="false" customHeight="true" outlineLevel="0" collapsed="false">
      <c r="A6" s="27" t="n">
        <f aca="false">ROW()-1</f>
        <v>5</v>
      </c>
      <c r="B6" s="27" t="s">
        <v>79</v>
      </c>
      <c r="C6" s="30" t="n">
        <f aca="false">1-(C4*C5)</f>
        <v>0.76605</v>
      </c>
      <c r="D6" s="27" t="s">
        <v>80</v>
      </c>
      <c r="E6" s="27" t="s">
        <v>81</v>
      </c>
    </row>
    <row r="7" s="27" customFormat="true" ht="16.5" hidden="false" customHeight="true" outlineLevel="0" collapsed="false">
      <c r="A7" s="27" t="n">
        <f aca="false">ROW()-1</f>
        <v>6</v>
      </c>
      <c r="B7" s="31" t="s">
        <v>82</v>
      </c>
      <c r="C7" s="32" t="n">
        <v>11.1</v>
      </c>
      <c r="D7" s="27" t="s">
        <v>83</v>
      </c>
      <c r="E7" s="33" t="s">
        <v>84</v>
      </c>
    </row>
    <row r="8" customFormat="false" ht="15" hidden="false" customHeight="true" outlineLevel="0" collapsed="false">
      <c r="A8" s="22" t="n">
        <f aca="false">ROW()-1</f>
        <v>7</v>
      </c>
      <c r="B8" s="22" t="s">
        <v>85</v>
      </c>
      <c r="C8" s="34" t="n">
        <v>50000</v>
      </c>
      <c r="D8" s="22" t="s">
        <v>86</v>
      </c>
      <c r="E8" s="23" t="s">
        <v>87</v>
      </c>
    </row>
    <row r="9" customFormat="false" ht="15" hidden="false" customHeight="true" outlineLevel="0" collapsed="false">
      <c r="A9" s="22" t="n">
        <f aca="false">ROW()-1</f>
        <v>8</v>
      </c>
      <c r="B9" s="22" t="s">
        <v>88</v>
      </c>
      <c r="C9" s="35" t="n">
        <v>1</v>
      </c>
      <c r="D9" s="22" t="s">
        <v>89</v>
      </c>
      <c r="E9" s="22" t="s">
        <v>90</v>
      </c>
    </row>
    <row r="10" customFormat="false" ht="16.5" hidden="false" customHeight="true" outlineLevel="0" collapsed="false">
      <c r="A10" s="22" t="n">
        <f aca="false">ROW()-1</f>
        <v>9</v>
      </c>
      <c r="B10" s="22" t="s">
        <v>91</v>
      </c>
      <c r="C10" s="22" t="n">
        <v>2.5</v>
      </c>
      <c r="D10" s="22" t="s">
        <v>92</v>
      </c>
      <c r="E10" s="22" t="s">
        <v>93</v>
      </c>
    </row>
    <row r="11" customFormat="false" ht="16.5" hidden="false" customHeight="true" outlineLevel="0" collapsed="false">
      <c r="A11" s="22" t="n">
        <f aca="false">ROW()-1</f>
        <v>10</v>
      </c>
      <c r="B11" s="36" t="s">
        <v>94</v>
      </c>
      <c r="C11" s="34" t="n">
        <v>5000</v>
      </c>
      <c r="D11" s="22" t="s">
        <v>95</v>
      </c>
      <c r="E11" s="23" t="s">
        <v>96</v>
      </c>
    </row>
    <row r="12" customFormat="false" ht="16.5" hidden="false" customHeight="true" outlineLevel="0" collapsed="false">
      <c r="A12" s="22" t="n">
        <f aca="false">ROW()-1</f>
        <v>11</v>
      </c>
      <c r="B12" s="22" t="s">
        <v>97</v>
      </c>
      <c r="C12" s="22" t="n">
        <v>0.3</v>
      </c>
      <c r="D12" s="22" t="s">
        <v>98</v>
      </c>
      <c r="E12" s="22" t="s">
        <v>99</v>
      </c>
    </row>
    <row r="13" customFormat="false" ht="15" hidden="false" customHeight="true" outlineLevel="0" collapsed="false">
      <c r="A13" s="22" t="n">
        <f aca="false">ROW()-1</f>
        <v>12</v>
      </c>
      <c r="B13" s="22" t="s">
        <v>100</v>
      </c>
      <c r="C13" s="22" t="n">
        <v>0</v>
      </c>
      <c r="D13" s="22" t="s">
        <v>101</v>
      </c>
      <c r="E13" s="22" t="s">
        <v>102</v>
      </c>
    </row>
    <row r="14" customFormat="false" ht="15" hidden="false" customHeight="true" outlineLevel="0" collapsed="false">
      <c r="A14" s="37" t="n">
        <f aca="false">ROW()-1</f>
        <v>13</v>
      </c>
      <c r="B14" s="37" t="s">
        <v>103</v>
      </c>
      <c r="C14" s="37" t="n">
        <v>-20</v>
      </c>
      <c r="D14" s="37" t="s">
        <v>104</v>
      </c>
      <c r="E14" s="37" t="s">
        <v>105</v>
      </c>
    </row>
    <row r="15" customFormat="false" ht="15" hidden="false" customHeight="true" outlineLevel="0" collapsed="false">
      <c r="A15" s="37" t="n">
        <f aca="false">ROW()-1</f>
        <v>14</v>
      </c>
      <c r="B15" s="37" t="s">
        <v>106</v>
      </c>
      <c r="C15" s="37" t="n">
        <v>20</v>
      </c>
      <c r="D15" s="37" t="s">
        <v>107</v>
      </c>
      <c r="E15" s="37" t="s">
        <v>108</v>
      </c>
    </row>
    <row r="16" customFormat="false" ht="15" hidden="false" customHeight="true" outlineLevel="0" collapsed="false">
      <c r="A16" s="37" t="n">
        <f aca="false">ROW()-1</f>
        <v>15</v>
      </c>
      <c r="B16" s="37" t="s">
        <v>109</v>
      </c>
      <c r="C16" s="37" t="n">
        <v>10000</v>
      </c>
      <c r="D16" s="37" t="s">
        <v>110</v>
      </c>
      <c r="E16" s="37" t="s">
        <v>111</v>
      </c>
    </row>
    <row r="18" s="38" customFormat="true" ht="15" hidden="false" customHeight="true" outlineLevel="0" collapsed="false">
      <c r="A18" s="38" t="n">
        <v>16</v>
      </c>
      <c r="B18" s="39" t="s">
        <v>112</v>
      </c>
      <c r="C18" s="40" t="n">
        <v>0.4</v>
      </c>
      <c r="D18" s="38" t="s">
        <v>113</v>
      </c>
      <c r="E18" s="38" t="s">
        <v>114</v>
      </c>
    </row>
    <row r="19" s="38" customFormat="true" ht="15" hidden="false" customHeight="true" outlineLevel="0" collapsed="false">
      <c r="A19" s="38" t="n">
        <v>17</v>
      </c>
      <c r="B19" s="38" t="s">
        <v>115</v>
      </c>
      <c r="C19" s="40" t="n">
        <v>0.5</v>
      </c>
      <c r="D19" s="38" t="s">
        <v>116</v>
      </c>
      <c r="E19" s="38" t="s">
        <v>117</v>
      </c>
    </row>
    <row r="20" customFormat="false" ht="14.25" hidden="false" customHeight="true" outlineLevel="0" collapsed="false">
      <c r="A20" s="1" t="n">
        <v>18</v>
      </c>
      <c r="B20" s="1" t="s">
        <v>118</v>
      </c>
      <c r="C20" s="41" t="s">
        <v>119</v>
      </c>
      <c r="D20" s="23" t="s">
        <v>120</v>
      </c>
    </row>
    <row r="21" customFormat="false" ht="14.25" hidden="false" customHeight="true" outlineLevel="0" collapsed="false">
      <c r="A21" s="1" t="n">
        <v>19</v>
      </c>
      <c r="B21" s="41" t="s">
        <v>121</v>
      </c>
      <c r="D21" s="23" t="s">
        <v>122</v>
      </c>
    </row>
    <row r="22" customFormat="false" ht="14.25" hidden="false" customHeight="true" outlineLevel="0" collapsed="false">
      <c r="A22" s="41"/>
      <c r="B22" s="41"/>
    </row>
    <row r="31" customFormat="false" ht="14.25" hidden="false" customHeight="true" outlineLevel="0" collapsed="false">
      <c r="A31" s="42" t="s">
        <v>123</v>
      </c>
      <c r="B31" s="1" t="s">
        <v>124</v>
      </c>
    </row>
    <row r="32" customFormat="false" ht="14.25" hidden="false" customHeight="true" outlineLevel="0" collapsed="false">
      <c r="A32" s="4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22"/>
    <col collapsed="false" customWidth="true" hidden="false" outlineLevel="0" max="6" min="6" style="1" width="16"/>
    <col collapsed="false" customWidth="true" hidden="false" outlineLevel="0" max="7" min="7" style="1" width="24"/>
    <col collapsed="false" customWidth="true" hidden="false" outlineLevel="0" max="8" min="8" style="1" width="60"/>
  </cols>
  <sheetData>
    <row r="1" customFormat="false" ht="15" hidden="false" customHeight="true" outlineLevel="0" collapsed="false">
      <c r="A1" s="44" t="s">
        <v>126</v>
      </c>
      <c r="B1" s="44" t="s">
        <v>127</v>
      </c>
      <c r="C1" s="44" t="s">
        <v>128</v>
      </c>
      <c r="D1" s="44" t="s">
        <v>129</v>
      </c>
      <c r="E1" s="44" t="s">
        <v>130</v>
      </c>
      <c r="F1" s="44" t="s">
        <v>131</v>
      </c>
      <c r="G1" s="44" t="s">
        <v>132</v>
      </c>
      <c r="H1" s="44" t="s">
        <v>133</v>
      </c>
    </row>
    <row r="2" customFormat="false" ht="15" hidden="false" customHeight="true" outlineLevel="0" collapsed="false">
      <c r="A2" s="1" t="s">
        <v>134</v>
      </c>
      <c r="B2" s="1" t="n">
        <v>2.2</v>
      </c>
      <c r="C2" s="1" t="n">
        <v>1.3</v>
      </c>
      <c r="D2" s="1" t="n">
        <v>10</v>
      </c>
      <c r="E2" s="1" t="n">
        <v>0.55</v>
      </c>
      <c r="F2" s="1" t="s">
        <v>135</v>
      </c>
      <c r="G2" s="1" t="n">
        <v>2</v>
      </c>
      <c r="H2" s="1" t="s">
        <v>136</v>
      </c>
    </row>
    <row r="3" customFormat="false" ht="15" hidden="false" customHeight="true" outlineLevel="0" collapsed="false">
      <c r="A3" s="1" t="s">
        <v>10</v>
      </c>
      <c r="B3" s="1" t="n">
        <v>2.55</v>
      </c>
      <c r="C3" s="1" t="n">
        <v>2.1</v>
      </c>
      <c r="D3" s="1" t="n">
        <v>57</v>
      </c>
      <c r="E3" s="1" t="n">
        <v>0.71</v>
      </c>
      <c r="F3" s="1" t="s">
        <v>24</v>
      </c>
      <c r="G3" s="1" t="n">
        <v>0</v>
      </c>
      <c r="H3" s="1" t="s">
        <v>137</v>
      </c>
    </row>
    <row r="4" customFormat="false" ht="15" hidden="false" customHeight="true" outlineLevel="0" collapsed="false">
      <c r="A4" s="1" t="s">
        <v>138</v>
      </c>
      <c r="B4" s="1" t="n">
        <v>1.95</v>
      </c>
      <c r="C4" s="1" t="n">
        <v>0.45</v>
      </c>
      <c r="D4" s="1" t="n">
        <v>30</v>
      </c>
      <c r="E4" s="1" t="n">
        <v>0.36</v>
      </c>
      <c r="F4" s="1" t="s">
        <v>135</v>
      </c>
      <c r="G4" s="1" t="n">
        <v>61</v>
      </c>
      <c r="H4" s="1" t="s">
        <v>139</v>
      </c>
    </row>
    <row r="5" customFormat="false" ht="15" hidden="false" customHeight="true" outlineLevel="0" collapsed="false">
      <c r="A5" s="1" t="s">
        <v>140</v>
      </c>
      <c r="B5" s="1" t="n">
        <v>1.85</v>
      </c>
      <c r="C5" s="1" t="n">
        <v>0.55</v>
      </c>
      <c r="D5" s="1" t="n">
        <v>70</v>
      </c>
      <c r="E5" s="1" t="n">
        <v>0.37</v>
      </c>
      <c r="F5" s="1" t="s">
        <v>24</v>
      </c>
      <c r="G5" s="1" t="n">
        <v>0</v>
      </c>
      <c r="H5" s="1" t="s">
        <v>141</v>
      </c>
    </row>
    <row r="6" customFormat="false" ht="15" hidden="false" customHeight="true" outlineLevel="0" collapsed="false">
      <c r="A6" s="1" t="s">
        <v>142</v>
      </c>
      <c r="B6" s="1" t="n">
        <v>2.05</v>
      </c>
      <c r="C6" s="1" t="n">
        <v>0.6</v>
      </c>
      <c r="D6" s="1" t="n">
        <v>70</v>
      </c>
      <c r="E6" s="1" t="n">
        <v>0.45</v>
      </c>
      <c r="F6" s="1" t="s">
        <v>24</v>
      </c>
      <c r="G6" s="1" t="n">
        <v>0</v>
      </c>
      <c r="H6" s="1" t="s">
        <v>143</v>
      </c>
    </row>
    <row r="7" customFormat="false" ht="15" hidden="false" customHeight="true" outlineLevel="0" collapsed="false">
      <c r="A7" s="1" t="s">
        <v>144</v>
      </c>
      <c r="B7" s="1" t="n">
        <v>2</v>
      </c>
      <c r="C7" s="1" t="n">
        <v>0.65</v>
      </c>
      <c r="D7" s="1" t="n">
        <v>32</v>
      </c>
      <c r="E7" s="1" t="n">
        <v>0.42</v>
      </c>
      <c r="F7" s="1" t="s">
        <v>135</v>
      </c>
      <c r="G7" s="1" t="n">
        <v>18</v>
      </c>
      <c r="H7" s="1" t="s">
        <v>145</v>
      </c>
    </row>
    <row r="8" customFormat="false" ht="15" hidden="false" customHeight="true" outlineLevel="0" collapsed="false">
      <c r="A8" s="1" t="s">
        <v>146</v>
      </c>
      <c r="B8" s="1" t="n">
        <v>1.85</v>
      </c>
      <c r="C8" s="1" t="n">
        <v>0.5</v>
      </c>
      <c r="D8" s="1" t="n">
        <v>25</v>
      </c>
      <c r="E8" s="1" t="n">
        <v>0.45</v>
      </c>
      <c r="F8" s="1" t="s">
        <v>24</v>
      </c>
      <c r="G8" s="1" t="n">
        <v>0</v>
      </c>
      <c r="H8" s="1" t="s">
        <v>147</v>
      </c>
    </row>
    <row r="9" customFormat="false" ht="15" hidden="false" customHeight="true" outlineLevel="0" collapsed="false">
      <c r="A9" s="1" t="s">
        <v>148</v>
      </c>
      <c r="B9" s="1" t="n">
        <v>2.3</v>
      </c>
      <c r="C9" s="1" t="n">
        <v>1.4</v>
      </c>
      <c r="D9" s="1" t="n">
        <v>30</v>
      </c>
      <c r="E9" s="1" t="n">
        <v>0.55</v>
      </c>
      <c r="F9" s="1" t="s">
        <v>24</v>
      </c>
      <c r="G9" s="1" t="n">
        <v>0</v>
      </c>
      <c r="H9" s="1" t="s">
        <v>149</v>
      </c>
    </row>
    <row r="10" customFormat="false" ht="15" hidden="false" customHeight="true" outlineLevel="0" collapsed="false">
      <c r="A10" s="1" t="s">
        <v>150</v>
      </c>
      <c r="B10" s="1" t="n">
        <v>2.45</v>
      </c>
      <c r="C10" s="1" t="n">
        <v>0.8</v>
      </c>
      <c r="D10" s="1" t="n">
        <v>40</v>
      </c>
      <c r="E10" s="1" t="n">
        <v>0.3</v>
      </c>
      <c r="F10" s="1" t="s">
        <v>24</v>
      </c>
      <c r="G10" s="1" t="n">
        <v>0</v>
      </c>
      <c r="H10" s="1" t="s">
        <v>151</v>
      </c>
    </row>
    <row r="11" customFormat="false" ht="15" hidden="false" customHeight="true" outlineLevel="0" collapsed="false">
      <c r="A11" s="1" t="s">
        <v>152</v>
      </c>
      <c r="B11" s="1" t="n">
        <v>2.3</v>
      </c>
      <c r="C11" s="1" t="n">
        <v>0.85</v>
      </c>
      <c r="D11" s="1" t="n">
        <v>30</v>
      </c>
      <c r="E11" s="1" t="n">
        <v>0.32</v>
      </c>
      <c r="F11" s="1" t="s">
        <v>24</v>
      </c>
      <c r="G11" s="1" t="n">
        <v>0</v>
      </c>
      <c r="H11" s="1" t="s">
        <v>153</v>
      </c>
    </row>
    <row r="12" customFormat="false" ht="15" hidden="false" customHeight="true" outlineLevel="0" collapsed="false">
      <c r="A12" s="1" t="s">
        <v>154</v>
      </c>
      <c r="B12" s="1" t="n">
        <v>1.75</v>
      </c>
      <c r="C12" s="1" t="n">
        <v>0.3</v>
      </c>
      <c r="D12" s="1" t="n">
        <v>40</v>
      </c>
      <c r="E12" s="1" t="n">
        <v>0.06</v>
      </c>
      <c r="F12" s="1" t="s">
        <v>135</v>
      </c>
      <c r="G12" s="1" t="n">
        <v>61</v>
      </c>
      <c r="H12" s="1" t="s">
        <v>155</v>
      </c>
    </row>
    <row r="13" customFormat="false" ht="15" hidden="false" customHeight="true" outlineLevel="0" collapsed="false">
      <c r="A13" s="1" t="s">
        <v>156</v>
      </c>
      <c r="B13" s="1" t="n">
        <v>1.95</v>
      </c>
      <c r="C13" s="1" t="n">
        <v>0.4</v>
      </c>
      <c r="D13" s="1" t="n">
        <v>84</v>
      </c>
      <c r="E13" s="1" t="n">
        <v>0.26</v>
      </c>
      <c r="F13" s="1" t="s">
        <v>135</v>
      </c>
      <c r="G13" s="1" t="n">
        <v>61</v>
      </c>
      <c r="H13" s="1" t="s">
        <v>157</v>
      </c>
    </row>
    <row r="14" customFormat="false" ht="15" hidden="false" customHeight="true" outlineLevel="0" collapsed="false">
      <c r="A14" s="1" t="s">
        <v>158</v>
      </c>
      <c r="B14" s="1" t="n">
        <v>1.85</v>
      </c>
      <c r="C14" s="1" t="n">
        <v>0.45</v>
      </c>
      <c r="D14" s="1" t="n">
        <v>70</v>
      </c>
      <c r="E14" s="1" t="n">
        <v>0.2</v>
      </c>
      <c r="F14" s="1" t="s">
        <v>135</v>
      </c>
      <c r="G14" s="1" t="n">
        <v>61</v>
      </c>
      <c r="H14" s="1" t="s">
        <v>159</v>
      </c>
    </row>
    <row r="15" customFormat="false" ht="15" hidden="false" customHeight="true" outlineLevel="0" collapsed="false">
      <c r="A15" s="1" t="s">
        <v>160</v>
      </c>
      <c r="B15" s="1" t="n">
        <v>1.85</v>
      </c>
      <c r="C15" s="1" t="n">
        <v>0.4</v>
      </c>
      <c r="D15" s="1" t="n">
        <v>35</v>
      </c>
      <c r="E15" s="1" t="n">
        <v>0.32</v>
      </c>
      <c r="F15" s="1" t="s">
        <v>135</v>
      </c>
      <c r="G15" s="1" t="n">
        <v>61</v>
      </c>
      <c r="H15" s="1" t="s">
        <v>161</v>
      </c>
    </row>
    <row r="16" customFormat="false" ht="15" hidden="false" customHeight="true" outlineLevel="0" collapsed="false">
      <c r="A16" s="1" t="s">
        <v>162</v>
      </c>
      <c r="B16" s="1" t="n">
        <v>1.65</v>
      </c>
      <c r="C16" s="1" t="n">
        <v>0.35</v>
      </c>
      <c r="D16" s="1" t="n">
        <v>25</v>
      </c>
      <c r="E16" s="1" t="n">
        <v>0.1</v>
      </c>
      <c r="F16" s="1" t="s">
        <v>24</v>
      </c>
      <c r="G16" s="1" t="n">
        <v>0</v>
      </c>
      <c r="H16" s="1" t="s">
        <v>163</v>
      </c>
    </row>
    <row r="19" customFormat="false" ht="15" hidden="false" customHeight="true" outlineLevel="0" collapsed="false">
      <c r="A19" s="45" t="s">
        <v>164</v>
      </c>
    </row>
    <row r="20" customFormat="false" ht="15" hidden="false" customHeight="true" outlineLevel="0" collapsed="false">
      <c r="A20" s="46" t="s">
        <v>165</v>
      </c>
      <c r="B20" s="46"/>
      <c r="C20" s="46"/>
      <c r="D20" s="46"/>
      <c r="E20" s="46"/>
      <c r="F20" s="46"/>
      <c r="G20" s="46"/>
      <c r="H20" s="46"/>
    </row>
    <row r="21" customFormat="false" ht="15" hidden="false" customHeight="true" outlineLevel="0" collapsed="false">
      <c r="A21" s="46" t="s">
        <v>166</v>
      </c>
      <c r="B21" s="46"/>
      <c r="C21" s="46"/>
      <c r="D21" s="46"/>
      <c r="E21" s="46"/>
      <c r="F21" s="46"/>
      <c r="G21" s="46"/>
      <c r="H21" s="46"/>
    </row>
    <row r="22" customFormat="false" ht="15" hidden="false" customHeight="true" outlineLevel="0" collapsed="false">
      <c r="A22" s="46" t="s">
        <v>167</v>
      </c>
      <c r="B22" s="46"/>
      <c r="C22" s="46"/>
      <c r="D22" s="46"/>
      <c r="E22" s="46"/>
      <c r="F22" s="46"/>
      <c r="G22" s="46"/>
      <c r="H22" s="46"/>
    </row>
    <row r="23" customFormat="false" ht="15" hidden="false" customHeight="true" outlineLevel="0" collapsed="false">
      <c r="A23" s="46" t="s">
        <v>168</v>
      </c>
      <c r="B23" s="46"/>
      <c r="C23" s="46"/>
      <c r="D23" s="46"/>
      <c r="E23" s="46"/>
      <c r="F23" s="46"/>
      <c r="G23" s="46"/>
      <c r="H23" s="46"/>
    </row>
    <row r="24" customFormat="false" ht="15" hidden="false" customHeight="true" outlineLevel="0" collapsed="false">
      <c r="A24" s="46" t="s">
        <v>169</v>
      </c>
      <c r="B24" s="46"/>
      <c r="C24" s="46"/>
      <c r="D24" s="46"/>
      <c r="E24" s="46"/>
      <c r="F24" s="46"/>
      <c r="G24" s="46"/>
      <c r="H24" s="46"/>
    </row>
    <row r="25" customFormat="false" ht="15" hidden="false" customHeight="true" outlineLevel="0" collapsed="false">
      <c r="A25" s="46" t="s">
        <v>170</v>
      </c>
      <c r="B25" s="46"/>
      <c r="C25" s="46"/>
      <c r="D25" s="46"/>
      <c r="E25" s="46"/>
      <c r="F25" s="46"/>
      <c r="G25" s="46"/>
      <c r="H25" s="46"/>
    </row>
  </sheetData>
  <mergeCells count="6">
    <mergeCell ref="A20:H20"/>
    <mergeCell ref="A21:H21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11" zoomScaleNormal="111" zoomScalePageLayoutView="100" workbookViewId="0">
      <selection pane="topLeft" activeCell="B21" activeCellId="0" sqref="B2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26.33"/>
    <col collapsed="false" customWidth="true" hidden="false" outlineLevel="0" max="3" min="3" style="47" width="11.33"/>
    <col collapsed="false" customWidth="true" hidden="false" outlineLevel="0" max="4" min="4" style="1" width="9.44"/>
    <col collapsed="false" customWidth="true" hidden="false" outlineLevel="0" max="5" min="5" style="1" width="78.67"/>
  </cols>
  <sheetData>
    <row r="1" customFormat="false" ht="15" hidden="false" customHeight="true" outlineLevel="0" collapsed="false">
      <c r="A1" s="22" t="s">
        <v>62</v>
      </c>
      <c r="B1" s="22" t="s">
        <v>63</v>
      </c>
      <c r="C1" s="22" t="s">
        <v>64</v>
      </c>
      <c r="D1" s="22" t="s">
        <v>65</v>
      </c>
      <c r="E1" s="22" t="s">
        <v>66</v>
      </c>
      <c r="F1" s="22" t="s">
        <v>171</v>
      </c>
    </row>
    <row r="2" customFormat="false" ht="15" hidden="false" customHeight="true" outlineLevel="0" collapsed="false">
      <c r="A2" s="22" t="n">
        <f aca="false">ROW()-1</f>
        <v>1</v>
      </c>
      <c r="B2" s="22" t="s">
        <v>172</v>
      </c>
      <c r="D2" s="22" t="s">
        <v>68</v>
      </c>
      <c r="E2" s="22" t="s">
        <v>173</v>
      </c>
    </row>
    <row r="3" customFormat="false" ht="15" hidden="false" customHeight="true" outlineLevel="0" collapsed="false">
      <c r="A3" s="22" t="n">
        <f aca="false">ROW()-1</f>
        <v>2</v>
      </c>
      <c r="B3" s="22" t="s">
        <v>6</v>
      </c>
      <c r="C3" s="48"/>
      <c r="D3" s="22" t="s">
        <v>71</v>
      </c>
      <c r="E3" s="22" t="s">
        <v>174</v>
      </c>
    </row>
    <row r="4" customFormat="false" ht="15" hidden="false" customHeight="true" outlineLevel="0" collapsed="false">
      <c r="A4" s="22" t="n">
        <f aca="false">ROW()-1</f>
        <v>3</v>
      </c>
      <c r="B4" s="22" t="s">
        <v>9</v>
      </c>
      <c r="D4" s="22" t="s">
        <v>74</v>
      </c>
      <c r="E4" s="22" t="s">
        <v>175</v>
      </c>
    </row>
    <row r="5" customFormat="false" ht="15" hidden="false" customHeight="true" outlineLevel="0" collapsed="false">
      <c r="A5" s="22" t="n">
        <f aca="false">ROW()-1</f>
        <v>4</v>
      </c>
      <c r="B5" s="22" t="s">
        <v>12</v>
      </c>
      <c r="C5" s="47" t="n">
        <v>1000</v>
      </c>
      <c r="D5" s="22" t="s">
        <v>77</v>
      </c>
      <c r="E5" s="22" t="s">
        <v>176</v>
      </c>
    </row>
    <row r="6" customFormat="false" ht="15" hidden="false" customHeight="true" outlineLevel="0" collapsed="false">
      <c r="A6" s="22" t="n">
        <f aca="false">ROW()-1</f>
        <v>5</v>
      </c>
      <c r="B6" s="22" t="s">
        <v>177</v>
      </c>
      <c r="C6" s="47" t="n">
        <v>1</v>
      </c>
      <c r="D6" s="22" t="s">
        <v>80</v>
      </c>
      <c r="E6" s="22" t="s">
        <v>178</v>
      </c>
    </row>
    <row r="7" customFormat="false" ht="15" hidden="false" customHeight="true" outlineLevel="0" collapsed="false">
      <c r="A7" s="22" t="n">
        <f aca="false">ROW()-1</f>
        <v>6</v>
      </c>
      <c r="B7" s="22" t="s">
        <v>179</v>
      </c>
      <c r="C7" s="47" t="n">
        <v>1.7</v>
      </c>
      <c r="D7" s="22" t="s">
        <v>83</v>
      </c>
      <c r="E7" s="22" t="s">
        <v>180</v>
      </c>
    </row>
    <row r="8" customFormat="false" ht="15" hidden="false" customHeight="true" outlineLevel="0" collapsed="false">
      <c r="A8" s="22" t="n">
        <f aca="false">ROW()-1</f>
        <v>7</v>
      </c>
      <c r="B8" s="22" t="s">
        <v>181</v>
      </c>
      <c r="C8" s="47" t="n">
        <v>200</v>
      </c>
      <c r="D8" s="22" t="s">
        <v>86</v>
      </c>
      <c r="E8" s="22" t="s">
        <v>182</v>
      </c>
    </row>
    <row r="9" customFormat="false" ht="15" hidden="false" customHeight="true" outlineLevel="0" collapsed="false">
      <c r="A9" s="22" t="n">
        <f aca="false">ROW()-1</f>
        <v>8</v>
      </c>
      <c r="B9" s="22" t="s">
        <v>23</v>
      </c>
      <c r="C9" s="47" t="s">
        <v>135</v>
      </c>
      <c r="D9" s="22" t="s">
        <v>89</v>
      </c>
      <c r="E9" s="22" t="s">
        <v>183</v>
      </c>
    </row>
    <row r="10" customFormat="false" ht="15" hidden="false" customHeight="true" outlineLevel="0" collapsed="false">
      <c r="A10" s="22" t="n">
        <f aca="false">ROW()-1</f>
        <v>9</v>
      </c>
      <c r="B10" s="22" t="s">
        <v>184</v>
      </c>
      <c r="C10" s="47" t="n">
        <v>80</v>
      </c>
      <c r="D10" s="22" t="s">
        <v>92</v>
      </c>
      <c r="E10" s="22" t="s">
        <v>185</v>
      </c>
    </row>
    <row r="11" customFormat="false" ht="15" hidden="false" customHeight="true" outlineLevel="0" collapsed="false">
      <c r="A11" s="22" t="n">
        <f aca="false">ROW()-1</f>
        <v>10</v>
      </c>
      <c r="B11" s="22" t="s">
        <v>186</v>
      </c>
      <c r="C11" s="47" t="n">
        <v>60000</v>
      </c>
      <c r="D11" s="22" t="s">
        <v>95</v>
      </c>
      <c r="E11" s="22" t="s">
        <v>187</v>
      </c>
    </row>
    <row r="12" customFormat="false" ht="15" hidden="false" customHeight="true" outlineLevel="0" collapsed="false">
      <c r="A12" s="37" t="n">
        <f aca="false">ROW()-1</f>
        <v>11</v>
      </c>
      <c r="B12" s="37" t="s">
        <v>188</v>
      </c>
      <c r="C12" s="49" t="n">
        <f aca="false">IF(C7&lt;&gt;"",C5*C7,C5*'basic parameter'!$C$3)</f>
        <v>1700</v>
      </c>
      <c r="D12" s="37" t="s">
        <v>98</v>
      </c>
      <c r="E12" s="37" t="s">
        <v>189</v>
      </c>
      <c r="F12" s="37" t="s">
        <v>190</v>
      </c>
    </row>
    <row r="13" customFormat="false" ht="15" hidden="false" customHeight="true" outlineLevel="0" collapsed="false">
      <c r="A13" s="37" t="n">
        <f aca="false">ROW()-1</f>
        <v>12</v>
      </c>
      <c r="B13" s="37" t="s">
        <v>191</v>
      </c>
      <c r="C13" s="49" t="n">
        <f aca="false">C12-(C8*'basic parameter'!$C$12)</f>
        <v>1640</v>
      </c>
      <c r="D13" s="37" t="s">
        <v>101</v>
      </c>
      <c r="E13" s="37" t="s">
        <v>192</v>
      </c>
      <c r="F13" s="37" t="s">
        <v>190</v>
      </c>
    </row>
    <row r="14" customFormat="false" ht="15" hidden="false" customHeight="true" outlineLevel="0" collapsed="false">
      <c r="A14" s="37" t="n">
        <f aca="false">ROW()-1</f>
        <v>13</v>
      </c>
      <c r="B14" s="37" t="s">
        <v>193</v>
      </c>
      <c r="C14" s="49" t="n">
        <f aca="false">'basic parameter'!$C$2*'basic parameter'!$C$6</f>
        <v>37.8505305</v>
      </c>
      <c r="D14" s="37" t="s">
        <v>104</v>
      </c>
      <c r="E14" s="37" t="s">
        <v>194</v>
      </c>
      <c r="F14" s="37" t="s">
        <v>190</v>
      </c>
    </row>
    <row r="15" customFormat="false" ht="15" hidden="false" customHeight="true" outlineLevel="0" collapsed="false">
      <c r="A15" s="37" t="n">
        <f aca="false">ROW()-1</f>
        <v>14</v>
      </c>
      <c r="B15" s="37" t="s">
        <v>195</v>
      </c>
      <c r="C15" s="49" t="n">
        <f aca="false">C13*C14</f>
        <v>62074.87002</v>
      </c>
      <c r="D15" s="37" t="s">
        <v>107</v>
      </c>
      <c r="E15" s="37" t="s">
        <v>196</v>
      </c>
      <c r="F15" s="37" t="s">
        <v>190</v>
      </c>
    </row>
    <row r="16" customFormat="false" ht="15" hidden="false" customHeight="true" outlineLevel="0" collapsed="false">
      <c r="A16" s="37" t="n">
        <f aca="false">ROW()-1</f>
        <v>15</v>
      </c>
      <c r="B16" s="37" t="s">
        <v>197</v>
      </c>
      <c r="C16" s="49" t="n">
        <f aca="false">IF(C9="Y",C13*C10%*'basic parameter'!$C$7*'basic parameter'!$C$9,0)</f>
        <v>14563.2</v>
      </c>
      <c r="D16" s="37" t="s">
        <v>110</v>
      </c>
      <c r="E16" s="37" t="s">
        <v>198</v>
      </c>
      <c r="F16" s="37" t="s">
        <v>190</v>
      </c>
    </row>
    <row r="17" customFormat="false" ht="15" hidden="false" customHeight="true" outlineLevel="0" collapsed="false">
      <c r="A17" s="37" t="n">
        <f aca="false">ROW()-1</f>
        <v>16</v>
      </c>
      <c r="B17" s="37" t="s">
        <v>199</v>
      </c>
      <c r="C17" s="49" t="n">
        <f aca="false">MAX(C15-C16,0)</f>
        <v>47511.67002</v>
      </c>
      <c r="D17" s="37" t="s">
        <v>200</v>
      </c>
      <c r="E17" s="37" t="s">
        <v>201</v>
      </c>
      <c r="F17" s="37" t="s">
        <v>190</v>
      </c>
    </row>
    <row r="18" customFormat="false" ht="15" hidden="false" customHeight="true" outlineLevel="0" collapsed="false">
      <c r="A18" s="37" t="n">
        <f aca="false">ROW()-1</f>
        <v>17</v>
      </c>
      <c r="B18" s="37" t="s">
        <v>202</v>
      </c>
      <c r="C18" s="49" t="str">
        <f aca="false">IF(C11&gt;='basic parameter'!$C$8,"Y","N")</f>
        <v>Y</v>
      </c>
      <c r="D18" s="37" t="s">
        <v>113</v>
      </c>
      <c r="E18" s="37" t="s">
        <v>203</v>
      </c>
      <c r="F18" s="37" t="s">
        <v>190</v>
      </c>
    </row>
    <row r="19" customFormat="false" ht="15" hidden="false" customHeight="true" outlineLevel="0" collapsed="false">
      <c r="A19" s="37" t="n">
        <f aca="false">ROW()-1</f>
        <v>18</v>
      </c>
      <c r="B19" s="37" t="s">
        <v>204</v>
      </c>
      <c r="C19" s="50" t="n">
        <f aca="false">IF(C18="Y",'basic parameter'!$C$11,0)</f>
        <v>5000</v>
      </c>
      <c r="D19" s="37" t="s">
        <v>116</v>
      </c>
      <c r="E19" s="37" t="s">
        <v>205</v>
      </c>
      <c r="F19" s="37" t="s">
        <v>190</v>
      </c>
    </row>
    <row r="20" customFormat="false" ht="15" hidden="false" customHeight="true" outlineLevel="0" collapsed="false">
      <c r="A20" s="37" t="n">
        <f aca="false">ROW()-1</f>
        <v>19</v>
      </c>
      <c r="B20" s="37" t="s">
        <v>206</v>
      </c>
      <c r="C20" s="49" t="n">
        <f aca="false">C5*'basic parameter'!$C$10</f>
        <v>2500</v>
      </c>
      <c r="D20" s="37" t="s">
        <v>207</v>
      </c>
      <c r="E20" s="37" t="s">
        <v>208</v>
      </c>
      <c r="F20" s="37" t="s">
        <v>190</v>
      </c>
    </row>
    <row r="21" customFormat="false" ht="15" hidden="false" customHeight="true" outlineLevel="0" collapsed="false">
      <c r="A21" s="37" t="n">
        <f aca="false">ROW()-1</f>
        <v>20</v>
      </c>
      <c r="B21" s="37" t="s">
        <v>209</v>
      </c>
      <c r="C21" s="49" t="n">
        <f aca="false">('basic parameter'!$C$3*C5-C12)*'basic parameter'!$C$2-C20-C19</f>
        <v>-2559</v>
      </c>
      <c r="D21" s="37" t="s">
        <v>210</v>
      </c>
      <c r="E21" s="37" t="s">
        <v>211</v>
      </c>
      <c r="F21" s="37" t="s">
        <v>190</v>
      </c>
    </row>
    <row r="22" customFormat="false" ht="15" hidden="false" customHeight="true" outlineLevel="0" collapsed="false">
      <c r="C22" s="22"/>
    </row>
    <row r="23" customFormat="false" ht="15" hidden="false" customHeight="true" outlineLevel="0" collapsed="false">
      <c r="C23" s="22"/>
    </row>
    <row r="24" customFormat="false" ht="15" hidden="false" customHeight="true" outlineLevel="0" collapsed="false">
      <c r="C24" s="22"/>
    </row>
    <row r="25" customFormat="false" ht="15" hidden="false" customHeight="true" outlineLevel="0" collapsed="false">
      <c r="C25" s="22"/>
    </row>
    <row r="26" customFormat="false" ht="15" hidden="false" customHeight="true" outlineLevel="0" collapsed="false">
      <c r="C26" s="22"/>
    </row>
    <row r="27" customFormat="false" ht="15" hidden="false" customHeight="true" outlineLevel="0" collapsed="false">
      <c r="C27" s="22"/>
    </row>
    <row r="28" customFormat="false" ht="15" hidden="false" customHeight="true" outlineLevel="0" collapsed="false">
      <c r="C28" s="22"/>
    </row>
    <row r="29" customFormat="false" ht="15" hidden="false" customHeight="true" outlineLevel="0" collapsed="false">
      <c r="C29" s="22"/>
    </row>
    <row r="30" customFormat="false" ht="15" hidden="false" customHeight="true" outlineLevel="0" collapsed="false">
      <c r="C30" s="22"/>
    </row>
    <row r="31" customFormat="false" ht="15" hidden="false" customHeight="true" outlineLevel="0" collapsed="false">
      <c r="C31" s="22"/>
    </row>
    <row r="32" customFormat="false" ht="15" hidden="false" customHeight="true" outlineLevel="0" collapsed="false">
      <c r="C32" s="22"/>
    </row>
    <row r="33" customFormat="false" ht="15" hidden="false" customHeight="true" outlineLevel="0" collapsed="false">
      <c r="C33" s="22"/>
    </row>
    <row r="34" customFormat="false" ht="15" hidden="false" customHeight="true" outlineLevel="0" collapsed="false">
      <c r="C34" s="22"/>
    </row>
    <row r="35" customFormat="false" ht="15" hidden="false" customHeight="true" outlineLevel="0" collapsed="false">
      <c r="C35" s="22"/>
    </row>
    <row r="36" customFormat="false" ht="15" hidden="false" customHeight="true" outlineLevel="0" collapsed="false">
      <c r="C36" s="22"/>
    </row>
    <row r="37" customFormat="false" ht="15" hidden="false" customHeight="true" outlineLevel="0" collapsed="false">
      <c r="C37" s="22"/>
    </row>
    <row r="38" customFormat="false" ht="15" hidden="false" customHeight="true" outlineLevel="0" collapsed="false">
      <c r="C38" s="22"/>
    </row>
    <row r="39" customFormat="false" ht="15" hidden="false" customHeight="true" outlineLevel="0" collapsed="false">
      <c r="C39" s="22"/>
    </row>
    <row r="40" customFormat="false" ht="15" hidden="false" customHeight="true" outlineLevel="0" collapsed="false">
      <c r="C40" s="22"/>
    </row>
    <row r="41" customFormat="false" ht="15" hidden="false" customHeight="true" outlineLevel="0" collapsed="false">
      <c r="C41" s="22"/>
    </row>
    <row r="42" customFormat="false" ht="15" hidden="false" customHeight="true" outlineLevel="0" collapsed="false">
      <c r="C42" s="22"/>
    </row>
    <row r="43" customFormat="false" ht="15" hidden="false" customHeight="true" outlineLevel="0" collapsed="false">
      <c r="C43" s="22"/>
    </row>
    <row r="44" customFormat="false" ht="15" hidden="false" customHeight="true" outlineLevel="0" collapsed="false">
      <c r="C44" s="22"/>
    </row>
    <row r="45" customFormat="false" ht="15" hidden="false" customHeight="true" outlineLevel="0" collapsed="false">
      <c r="C45" s="22"/>
    </row>
    <row r="46" customFormat="false" ht="15" hidden="false" customHeight="true" outlineLevel="0" collapsed="false">
      <c r="C46" s="22"/>
    </row>
    <row r="47" customFormat="false" ht="15" hidden="false" customHeight="true" outlineLevel="0" collapsed="false">
      <c r="C47" s="22"/>
    </row>
    <row r="48" customFormat="false" ht="15" hidden="false" customHeight="true" outlineLevel="0" collapsed="false">
      <c r="C48" s="22"/>
    </row>
    <row r="49" customFormat="false" ht="15" hidden="false" customHeight="true" outlineLevel="0" collapsed="false">
      <c r="C49" s="22"/>
    </row>
    <row r="50" customFormat="false" ht="15" hidden="false" customHeight="true" outlineLevel="0" collapsed="false">
      <c r="C50" s="22"/>
    </row>
    <row r="51" customFormat="false" ht="15" hidden="false" customHeight="true" outlineLevel="0" collapsed="false">
      <c r="C51" s="22"/>
    </row>
    <row r="52" customFormat="false" ht="15" hidden="false" customHeight="true" outlineLevel="0" collapsed="false">
      <c r="C52" s="22"/>
    </row>
    <row r="53" customFormat="false" ht="15" hidden="false" customHeight="true" outlineLevel="0" collapsed="false">
      <c r="C53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K14" activeCellId="0" sqref="K14"/>
    </sheetView>
  </sheetViews>
  <sheetFormatPr defaultColWidth="9.00390625" defaultRowHeight="14.25" zeroHeight="false" outlineLevelRow="0" outlineLevelCol="0"/>
  <cols>
    <col collapsed="false" customWidth="true" hidden="false" outlineLevel="0" max="3" min="3" style="1" width="10.66"/>
    <col collapsed="false" customWidth="true" hidden="false" outlineLevel="0" max="7" min="7" style="1" width="16.67"/>
    <col collapsed="false" customWidth="true" hidden="false" outlineLevel="0" max="15" min="15" style="1" width="10.44"/>
    <col collapsed="false" customWidth="true" hidden="false" outlineLevel="0" max="20" min="20" style="1" width="10.44"/>
  </cols>
  <sheetData>
    <row r="1" customFormat="false" ht="15" hidden="false" customHeight="true" outlineLevel="0" collapsed="false">
      <c r="A1" s="22" t="s">
        <v>62</v>
      </c>
      <c r="B1" s="22" t="s">
        <v>172</v>
      </c>
      <c r="C1" s="22" t="s">
        <v>6</v>
      </c>
      <c r="D1" s="22" t="s">
        <v>9</v>
      </c>
      <c r="E1" s="22" t="s">
        <v>12</v>
      </c>
      <c r="F1" s="22" t="s">
        <v>177</v>
      </c>
      <c r="G1" s="22" t="s">
        <v>179</v>
      </c>
      <c r="H1" s="22" t="s">
        <v>181</v>
      </c>
      <c r="I1" s="22" t="s">
        <v>23</v>
      </c>
      <c r="J1" s="22" t="s">
        <v>184</v>
      </c>
      <c r="K1" s="22" t="s">
        <v>186</v>
      </c>
      <c r="L1" s="37" t="s">
        <v>188</v>
      </c>
      <c r="M1" s="37" t="s">
        <v>191</v>
      </c>
      <c r="N1" s="37" t="s">
        <v>193</v>
      </c>
      <c r="O1" s="37" t="s">
        <v>195</v>
      </c>
      <c r="P1" s="37" t="s">
        <v>197</v>
      </c>
      <c r="Q1" s="37" t="s">
        <v>199</v>
      </c>
      <c r="R1" s="37" t="s">
        <v>202</v>
      </c>
      <c r="S1" s="37" t="s">
        <v>204</v>
      </c>
      <c r="T1" s="37" t="s">
        <v>206</v>
      </c>
      <c r="U1" s="37" t="s">
        <v>209</v>
      </c>
    </row>
    <row r="2" customFormat="false" ht="15" hidden="false" customHeight="true" outlineLevel="0" collapsed="false">
      <c r="A2" s="22" t="n">
        <v>1</v>
      </c>
      <c r="B2" s="22" t="s">
        <v>212</v>
      </c>
      <c r="C2" s="51" t="n">
        <v>46388</v>
      </c>
      <c r="D2" s="22" t="s">
        <v>138</v>
      </c>
      <c r="E2" s="22" t="n">
        <v>350</v>
      </c>
      <c r="F2" s="22" t="s">
        <v>16</v>
      </c>
      <c r="G2" s="47" t="n">
        <v>1.95</v>
      </c>
      <c r="H2" s="47" t="n">
        <v>2</v>
      </c>
      <c r="I2" s="22" t="s">
        <v>135</v>
      </c>
      <c r="J2" s="47" t="n">
        <v>80</v>
      </c>
      <c r="K2" s="47" t="n">
        <v>296191</v>
      </c>
      <c r="L2" s="49" t="n">
        <f aca="false">IF(G2&lt;&gt;"",E2*G2,E2*'basic parameter'!$C$3)</f>
        <v>682.5</v>
      </c>
      <c r="M2" s="49" t="n">
        <f aca="false">L2-(H2*'basic parameter'!$C$12)</f>
        <v>681.9</v>
      </c>
      <c r="N2" s="49" t="n">
        <f aca="false">'basic parameter'!$C$2*'basic parameter'!$C$6</f>
        <v>37.8505305</v>
      </c>
      <c r="O2" s="49" t="n">
        <f aca="false">M2*N2</f>
        <v>25810.27674795</v>
      </c>
      <c r="P2" s="49" t="n">
        <f aca="false">IF(I2="Y",M2*J2%*'basic parameter'!$C$7*'basic parameter'!$C$9,0)</f>
        <v>6055.272</v>
      </c>
      <c r="Q2" s="49" t="n">
        <f aca="false">MAX(O2-P2,0)</f>
        <v>19755.00474795</v>
      </c>
      <c r="R2" s="49" t="str">
        <f aca="false">IF(K2&gt;='basic parameter'!$C$8,"Y","N")</f>
        <v>Y</v>
      </c>
      <c r="S2" s="50" t="n">
        <f aca="false">IF(R2="Y",'basic parameter'!$C$11,0)</f>
        <v>5000</v>
      </c>
      <c r="T2" s="49" t="n">
        <f aca="false">E2*'basic parameter'!$C$10</f>
        <v>875</v>
      </c>
      <c r="U2" s="52" t="n">
        <f aca="false">('basic parameter'!$C$3*E2-L2)*N2+P2+S2-T2</f>
        <v>8193.11914875</v>
      </c>
    </row>
    <row r="3" customFormat="false" ht="15" hidden="false" customHeight="true" outlineLevel="0" collapsed="false">
      <c r="A3" s="22" t="n">
        <v>2</v>
      </c>
      <c r="B3" s="22" t="s">
        <v>213</v>
      </c>
      <c r="C3" s="51" t="n">
        <v>46389</v>
      </c>
      <c r="D3" s="22" t="s">
        <v>138</v>
      </c>
      <c r="E3" s="22" t="n">
        <v>750</v>
      </c>
      <c r="F3" s="22" t="s">
        <v>214</v>
      </c>
      <c r="G3" s="47" t="n">
        <v>0.45</v>
      </c>
      <c r="H3" s="47" t="n">
        <v>21</v>
      </c>
      <c r="I3" s="22" t="s">
        <v>135</v>
      </c>
      <c r="J3" s="47" t="n">
        <v>80</v>
      </c>
      <c r="K3" s="47" t="n">
        <v>589404</v>
      </c>
      <c r="L3" s="49" t="n">
        <f aca="false">IF(G3&lt;&gt;"",E3*G3,E3*'basic parameter'!$C$3)</f>
        <v>337.5</v>
      </c>
      <c r="M3" s="49" t="n">
        <f aca="false">L3-(H3*'basic parameter'!$C$12)</f>
        <v>331.2</v>
      </c>
      <c r="N3" s="49" t="n">
        <f aca="false">'basic parameter'!$C$2*'basic parameter'!$C$6</f>
        <v>37.8505305</v>
      </c>
      <c r="O3" s="49" t="n">
        <f aca="false">M3*N3</f>
        <v>12536.0957016</v>
      </c>
      <c r="P3" s="49" t="n">
        <f aca="false">IF(I3="Y",M3*J3%*'basic parameter'!$C$7*'basic parameter'!$C$9,0)</f>
        <v>2941.056</v>
      </c>
      <c r="Q3" s="49" t="n">
        <f aca="false">MAX(O3-P3,0)</f>
        <v>9595.0397016</v>
      </c>
      <c r="R3" s="49" t="str">
        <f aca="false">IF(K3&gt;='basic parameter'!$C$8,"Y","N")</f>
        <v>Y</v>
      </c>
      <c r="S3" s="50" t="n">
        <f aca="false">IF(R3="Y",'basic parameter'!$C$11,0)</f>
        <v>5000</v>
      </c>
      <c r="T3" s="49" t="n">
        <f aca="false">E3*'basic parameter'!$C$10</f>
        <v>1875</v>
      </c>
      <c r="U3" s="52" t="n">
        <f aca="false">('basic parameter'!$C$3*E3-L3)*N3+P3+S3-T3</f>
        <v>44389.71813125</v>
      </c>
    </row>
    <row r="4" customFormat="false" ht="15" hidden="false" customHeight="true" outlineLevel="0" collapsed="false">
      <c r="A4" s="22" t="n">
        <v>3</v>
      </c>
      <c r="B4" s="22" t="s">
        <v>215</v>
      </c>
      <c r="C4" s="51" t="n">
        <v>46390</v>
      </c>
      <c r="D4" s="22" t="s">
        <v>160</v>
      </c>
      <c r="E4" s="22" t="n">
        <v>2500</v>
      </c>
      <c r="F4" s="22" t="s">
        <v>16</v>
      </c>
      <c r="G4" s="47" t="n">
        <v>1.85</v>
      </c>
      <c r="H4" s="47" t="n">
        <v>43</v>
      </c>
      <c r="I4" s="22" t="s">
        <v>135</v>
      </c>
      <c r="J4" s="47" t="n">
        <v>80</v>
      </c>
      <c r="K4" s="47" t="n">
        <v>2244181</v>
      </c>
      <c r="L4" s="49" t="n">
        <f aca="false">IF(G4&lt;&gt;"",E4*G4,E4*'basic parameter'!$C$3)</f>
        <v>4625</v>
      </c>
      <c r="M4" s="49" t="n">
        <f aca="false">L4-(H4*'basic parameter'!$C$12)</f>
        <v>4612.1</v>
      </c>
      <c r="N4" s="49" t="n">
        <f aca="false">'basic parameter'!$C$2*'basic parameter'!$C$6</f>
        <v>37.8505305</v>
      </c>
      <c r="O4" s="49" t="n">
        <f aca="false">M4*N4</f>
        <v>174570.43171905</v>
      </c>
      <c r="P4" s="49" t="n">
        <f aca="false">IF(I4="Y",M4*J4%*'basic parameter'!$C$7*'basic parameter'!$C$9,0)</f>
        <v>40955.448</v>
      </c>
      <c r="Q4" s="49" t="n">
        <f aca="false">MAX(O4-P4,0)</f>
        <v>133614.98371905</v>
      </c>
      <c r="R4" s="49" t="str">
        <f aca="false">IF(K4&gt;='basic parameter'!$C$8,"Y","N")</f>
        <v>Y</v>
      </c>
      <c r="S4" s="50" t="n">
        <f aca="false">IF(R4="Y",'basic parameter'!$C$11,0)</f>
        <v>5000</v>
      </c>
      <c r="T4" s="49" t="n">
        <f aca="false">E4*'basic parameter'!$C$10</f>
        <v>6250</v>
      </c>
      <c r="U4" s="52" t="n">
        <f aca="false">('basic parameter'!$C$3*E4-L4)*N4+P4+S4-T4</f>
        <v>34974.1316875</v>
      </c>
    </row>
    <row r="5" customFormat="false" ht="15" hidden="false" customHeight="true" outlineLevel="0" collapsed="false">
      <c r="A5" s="22" t="n">
        <v>4</v>
      </c>
      <c r="B5" s="22" t="s">
        <v>216</v>
      </c>
      <c r="C5" s="51" t="n">
        <v>46391</v>
      </c>
      <c r="D5" s="22" t="s">
        <v>158</v>
      </c>
      <c r="E5" s="22" t="n">
        <v>200</v>
      </c>
      <c r="F5" s="22" t="s">
        <v>214</v>
      </c>
      <c r="G5" s="47" t="n">
        <v>0.45</v>
      </c>
      <c r="H5" s="47" t="n">
        <v>4</v>
      </c>
      <c r="I5" s="22" t="s">
        <v>135</v>
      </c>
      <c r="J5" s="47" t="n">
        <v>80</v>
      </c>
      <c r="K5" s="47" t="n">
        <v>166286</v>
      </c>
      <c r="L5" s="49" t="n">
        <f aca="false">IF(G5&lt;&gt;"",E5*G5,E5*'basic parameter'!$C$3)</f>
        <v>90</v>
      </c>
      <c r="M5" s="49" t="n">
        <f aca="false">L5-(H5*'basic parameter'!$C$12)</f>
        <v>88.8</v>
      </c>
      <c r="N5" s="49" t="n">
        <f aca="false">'basic parameter'!$C$2*'basic parameter'!$C$6</f>
        <v>37.8505305</v>
      </c>
      <c r="O5" s="49" t="n">
        <f aca="false">M5*N5</f>
        <v>3361.1271084</v>
      </c>
      <c r="P5" s="49" t="n">
        <f aca="false">IF(I5="Y",M5*J5%*'basic parameter'!$C$7*'basic parameter'!$C$9,0)</f>
        <v>788.544</v>
      </c>
      <c r="Q5" s="49" t="n">
        <f aca="false">MAX(O5-P5,0)</f>
        <v>2572.5831084</v>
      </c>
      <c r="R5" s="49" t="str">
        <f aca="false">IF(K5&gt;='basic parameter'!$C$8,"Y","N")</f>
        <v>Y</v>
      </c>
      <c r="S5" s="50" t="n">
        <f aca="false">IF(R5="Y",'basic parameter'!$C$11,0)</f>
        <v>5000</v>
      </c>
      <c r="T5" s="49" t="n">
        <f aca="false">E5*'basic parameter'!$C$10</f>
        <v>500</v>
      </c>
      <c r="U5" s="52" t="n">
        <f aca="false">('basic parameter'!$C$3*E5-L5)*N5+P5+S5-T5</f>
        <v>15508.187235</v>
      </c>
    </row>
    <row r="6" customFormat="false" ht="15" hidden="false" customHeight="true" outlineLevel="0" collapsed="false">
      <c r="A6" s="22" t="n">
        <v>5</v>
      </c>
      <c r="B6" s="22" t="s">
        <v>212</v>
      </c>
      <c r="C6" s="51" t="n">
        <v>46392</v>
      </c>
      <c r="D6" s="22" t="s">
        <v>158</v>
      </c>
      <c r="E6" s="22" t="n">
        <v>200</v>
      </c>
      <c r="F6" s="22" t="s">
        <v>16</v>
      </c>
      <c r="G6" s="47" t="n">
        <v>1.85</v>
      </c>
      <c r="H6" s="47" t="n">
        <v>22</v>
      </c>
      <c r="I6" s="22" t="s">
        <v>135</v>
      </c>
      <c r="J6" s="47" t="n">
        <v>80</v>
      </c>
      <c r="K6" s="47" t="n">
        <v>200121</v>
      </c>
      <c r="L6" s="49" t="n">
        <f aca="false">IF(G6&lt;&gt;"",E6*G6,E6*'basic parameter'!$C$3)</f>
        <v>370</v>
      </c>
      <c r="M6" s="49" t="n">
        <f aca="false">L6-(H6*'basic parameter'!$C$12)</f>
        <v>363.4</v>
      </c>
      <c r="N6" s="49" t="n">
        <f aca="false">'basic parameter'!$C$2*'basic parameter'!$C$6</f>
        <v>37.8505305</v>
      </c>
      <c r="O6" s="49" t="n">
        <f aca="false">M6*N6</f>
        <v>13754.8827837</v>
      </c>
      <c r="P6" s="49" t="n">
        <f aca="false">IF(I6="Y",M6*J6%*'basic parameter'!$C$7*'basic parameter'!$C$9,0)</f>
        <v>3226.992</v>
      </c>
      <c r="Q6" s="49" t="n">
        <f aca="false">MAX(O6-P6,0)</f>
        <v>10527.8907837</v>
      </c>
      <c r="R6" s="49" t="str">
        <f aca="false">IF(K6&gt;='basic parameter'!$C$8,"Y","N")</f>
        <v>Y</v>
      </c>
      <c r="S6" s="50" t="n">
        <f aca="false">IF(R6="Y",'basic parameter'!$C$11,0)</f>
        <v>5000</v>
      </c>
      <c r="T6" s="49" t="n">
        <f aca="false">E6*'basic parameter'!$C$10</f>
        <v>500</v>
      </c>
      <c r="U6" s="52" t="n">
        <f aca="false">('basic parameter'!$C$3*E6-L6)*N6+P6+S6-T6</f>
        <v>7348.486695</v>
      </c>
    </row>
    <row r="7" customFormat="false" ht="15" hidden="false" customHeight="true" outlineLevel="0" collapsed="false">
      <c r="A7" s="22" t="n">
        <v>6</v>
      </c>
      <c r="B7" s="22" t="s">
        <v>213</v>
      </c>
      <c r="C7" s="51" t="n">
        <v>46393</v>
      </c>
      <c r="D7" s="22" t="s">
        <v>10</v>
      </c>
      <c r="E7" s="22" t="n">
        <v>2500</v>
      </c>
      <c r="F7" s="22" t="s">
        <v>16</v>
      </c>
      <c r="G7" s="47" t="n">
        <v>2.55</v>
      </c>
      <c r="H7" s="47" t="n">
        <v>210</v>
      </c>
      <c r="I7" s="22" t="s">
        <v>24</v>
      </c>
      <c r="J7" s="47" t="n">
        <v>0</v>
      </c>
      <c r="K7" s="47" t="n">
        <v>2268057</v>
      </c>
      <c r="L7" s="49" t="n">
        <f aca="false">IF(G7&lt;&gt;"",E7*G7,E7*'basic parameter'!$C$3)</f>
        <v>6375</v>
      </c>
      <c r="M7" s="49" t="n">
        <f aca="false">L7-(H7*'basic parameter'!$C$12)</f>
        <v>6312</v>
      </c>
      <c r="N7" s="49" t="n">
        <f aca="false">'basic parameter'!$C$2*'basic parameter'!$C$6</f>
        <v>37.8505305</v>
      </c>
      <c r="O7" s="49" t="n">
        <f aca="false">M7*N7</f>
        <v>238912.548516</v>
      </c>
      <c r="P7" s="49" t="n">
        <f aca="false">IF(I7="Y",M7*J7%*'basic parameter'!$C$7*'basic parameter'!$C$9,0)</f>
        <v>0</v>
      </c>
      <c r="Q7" s="49" t="n">
        <f aca="false">MAX(O7-P7,0)</f>
        <v>238912.548516</v>
      </c>
      <c r="R7" s="49" t="str">
        <f aca="false">IF(K7&gt;='basic parameter'!$C$8,"Y","N")</f>
        <v>Y</v>
      </c>
      <c r="S7" s="50" t="n">
        <f aca="false">IF(R7="Y",'basic parameter'!$C$11,0)</f>
        <v>5000</v>
      </c>
      <c r="T7" s="49" t="n">
        <f aca="false">E7*'basic parameter'!$C$10</f>
        <v>6250</v>
      </c>
      <c r="U7" s="52" t="n">
        <f aca="false">('basic parameter'!$C$3*E7-L7)*N7+P7+S7-T7</f>
        <v>-72219.7446875</v>
      </c>
    </row>
    <row r="8" customFormat="false" ht="15" hidden="false" customHeight="true" outlineLevel="0" collapsed="false">
      <c r="A8" s="22" t="n">
        <v>7</v>
      </c>
      <c r="B8" s="22" t="s">
        <v>215</v>
      </c>
      <c r="C8" s="51" t="n">
        <v>46394</v>
      </c>
      <c r="D8" s="22" t="s">
        <v>10</v>
      </c>
      <c r="E8" s="22" t="n">
        <v>1000</v>
      </c>
      <c r="F8" s="22" t="s">
        <v>214</v>
      </c>
      <c r="G8" s="47" t="n">
        <v>2.1</v>
      </c>
      <c r="H8" s="47" t="n">
        <v>162</v>
      </c>
      <c r="I8" s="22" t="s">
        <v>24</v>
      </c>
      <c r="J8" s="47" t="n">
        <v>0</v>
      </c>
      <c r="K8" s="47" t="n">
        <v>752274</v>
      </c>
      <c r="L8" s="49" t="n">
        <f aca="false">IF(G8&lt;&gt;"",E8*G8,E8*'basic parameter'!$C$3)</f>
        <v>2100</v>
      </c>
      <c r="M8" s="49" t="n">
        <f aca="false">L8-(H8*'basic parameter'!$C$12)</f>
        <v>2051.4</v>
      </c>
      <c r="N8" s="49" t="n">
        <f aca="false">'basic parameter'!$C$2*'basic parameter'!$C$6</f>
        <v>37.8505305</v>
      </c>
      <c r="O8" s="49" t="n">
        <f aca="false">M8*N8</f>
        <v>77646.5782677</v>
      </c>
      <c r="P8" s="49" t="n">
        <f aca="false">IF(I8="Y",M8*J8%*'basic parameter'!$C$7*'basic parameter'!$C$9,0)</f>
        <v>0</v>
      </c>
      <c r="Q8" s="49" t="n">
        <f aca="false">MAX(O8-P8,0)</f>
        <v>77646.5782677</v>
      </c>
      <c r="R8" s="49" t="str">
        <f aca="false">IF(K8&gt;='basic parameter'!$C$8,"Y","N")</f>
        <v>Y</v>
      </c>
      <c r="S8" s="50" t="n">
        <f aca="false">IF(R8="Y",'basic parameter'!$C$11,0)</f>
        <v>5000</v>
      </c>
      <c r="T8" s="49" t="n">
        <f aca="false">E8*'basic parameter'!$C$10</f>
        <v>2500</v>
      </c>
      <c r="U8" s="52" t="n">
        <f aca="false">('basic parameter'!$C$3*E8-L8)*N8+P8+S8-T8</f>
        <v>-8855.15915</v>
      </c>
    </row>
    <row r="9" customFormat="false" ht="15" hidden="false" customHeight="true" outlineLevel="0" collapsed="false">
      <c r="A9" s="22" t="n">
        <v>8</v>
      </c>
      <c r="B9" s="22" t="s">
        <v>216</v>
      </c>
      <c r="C9" s="51" t="n">
        <v>46426</v>
      </c>
      <c r="D9" s="22" t="s">
        <v>134</v>
      </c>
      <c r="E9" s="22" t="n">
        <v>500</v>
      </c>
      <c r="F9" s="22" t="s">
        <v>16</v>
      </c>
      <c r="G9" s="47" t="n">
        <v>2.2</v>
      </c>
      <c r="H9" s="47" t="n">
        <v>70</v>
      </c>
      <c r="I9" s="22" t="s">
        <v>135</v>
      </c>
      <c r="J9" s="47" t="n">
        <v>60</v>
      </c>
      <c r="K9" s="47" t="n">
        <v>434543</v>
      </c>
      <c r="L9" s="49" t="n">
        <f aca="false">IF(G9&lt;&gt;"",E9*G9,E9*'basic parameter'!$C$3)</f>
        <v>1100</v>
      </c>
      <c r="M9" s="49" t="n">
        <f aca="false">L9-(H9*'basic parameter'!$C$12)</f>
        <v>1079</v>
      </c>
      <c r="N9" s="49" t="n">
        <f aca="false">'basic parameter'!$C$2*'basic parameter'!$C$6</f>
        <v>37.8505305</v>
      </c>
      <c r="O9" s="49" t="n">
        <f aca="false">M9*N9</f>
        <v>40840.7224095</v>
      </c>
      <c r="P9" s="49" t="n">
        <f aca="false">IF(I9="Y",M9*J9%*'basic parameter'!$C$7*'basic parameter'!$C$9,0)</f>
        <v>7186.14</v>
      </c>
      <c r="Q9" s="49" t="n">
        <f aca="false">MAX(O9-P9,0)</f>
        <v>33654.5824095</v>
      </c>
      <c r="R9" s="49" t="str">
        <f aca="false">IF(K9&gt;='basic parameter'!$C$8,"Y","N")</f>
        <v>Y</v>
      </c>
      <c r="S9" s="50" t="n">
        <f aca="false">IF(R9="Y",'basic parameter'!$C$11,0)</f>
        <v>5000</v>
      </c>
      <c r="T9" s="49" t="n">
        <f aca="false">E9*'basic parameter'!$C$10</f>
        <v>1250</v>
      </c>
      <c r="U9" s="52" t="n">
        <f aca="false">('basic parameter'!$C$3*E9-L9)*N9+P9+S9-T9</f>
        <v>3366.0339</v>
      </c>
    </row>
    <row r="10" customFormat="false" ht="15" hidden="false" customHeight="true" outlineLevel="0" collapsed="false">
      <c r="A10" s="22" t="n">
        <v>9</v>
      </c>
      <c r="B10" s="22" t="s">
        <v>212</v>
      </c>
      <c r="C10" s="51" t="n">
        <v>46427</v>
      </c>
      <c r="D10" s="22" t="s">
        <v>134</v>
      </c>
      <c r="E10" s="22" t="n">
        <v>500</v>
      </c>
      <c r="F10" s="22" t="s">
        <v>214</v>
      </c>
      <c r="G10" s="47" t="n">
        <v>1.3</v>
      </c>
      <c r="H10" s="47" t="n">
        <v>22</v>
      </c>
      <c r="I10" s="22" t="s">
        <v>135</v>
      </c>
      <c r="J10" s="47" t="n">
        <v>60</v>
      </c>
      <c r="K10" s="47" t="n">
        <v>508611</v>
      </c>
      <c r="L10" s="49" t="n">
        <f aca="false">IF(G10&lt;&gt;"",E10*G10,E10*'basic parameter'!$C$3)</f>
        <v>650</v>
      </c>
      <c r="M10" s="49" t="n">
        <f aca="false">L10-(H10*'basic parameter'!$C$12)</f>
        <v>643.4</v>
      </c>
      <c r="N10" s="49" t="n">
        <f aca="false">'basic parameter'!$C$2*'basic parameter'!$C$6</f>
        <v>37.8505305</v>
      </c>
      <c r="O10" s="49" t="n">
        <f aca="false">M10*N10</f>
        <v>24353.0313237</v>
      </c>
      <c r="P10" s="49" t="n">
        <f aca="false">IF(I10="Y",M10*J10%*'basic parameter'!$C$7*'basic parameter'!$C$9,0)</f>
        <v>4285.044</v>
      </c>
      <c r="Q10" s="49" t="n">
        <f aca="false">MAX(O10-P10,0)</f>
        <v>20067.9873237</v>
      </c>
      <c r="R10" s="49" t="str">
        <f aca="false">IF(K10&gt;='basic parameter'!$C$8,"Y","N")</f>
        <v>Y</v>
      </c>
      <c r="S10" s="50" t="n">
        <f aca="false">IF(R10="Y",'basic parameter'!$C$11,0)</f>
        <v>5000</v>
      </c>
      <c r="T10" s="49" t="n">
        <f aca="false">E10*'basic parameter'!$C$10</f>
        <v>1250</v>
      </c>
      <c r="U10" s="52" t="n">
        <f aca="false">('basic parameter'!$C$3*E10-L10)*N10+P10+S10-T10</f>
        <v>17497.676625</v>
      </c>
    </row>
    <row r="11" customFormat="false" ht="15" hidden="false" customHeight="true" outlineLevel="0" collapsed="false">
      <c r="A11" s="22" t="n">
        <v>10</v>
      </c>
      <c r="B11" s="22" t="s">
        <v>213</v>
      </c>
      <c r="C11" s="51" t="n">
        <v>46428</v>
      </c>
      <c r="D11" s="22" t="s">
        <v>142</v>
      </c>
      <c r="E11" s="22" t="n">
        <v>350</v>
      </c>
      <c r="F11" s="22" t="s">
        <v>214</v>
      </c>
      <c r="G11" s="47" t="n">
        <v>0.6</v>
      </c>
      <c r="H11" s="47" t="n">
        <v>6</v>
      </c>
      <c r="I11" s="22" t="s">
        <v>24</v>
      </c>
      <c r="J11" s="47" t="n">
        <v>0</v>
      </c>
      <c r="K11" s="47" t="n">
        <v>274347</v>
      </c>
      <c r="L11" s="49" t="n">
        <f aca="false">IF(G11&lt;&gt;"",E11*G11,E11*'basic parameter'!$C$3)</f>
        <v>210</v>
      </c>
      <c r="M11" s="49" t="n">
        <f aca="false">L11-(H11*'basic parameter'!$C$12)</f>
        <v>208.2</v>
      </c>
      <c r="N11" s="49" t="n">
        <f aca="false">'basic parameter'!$C$2*'basic parameter'!$C$6</f>
        <v>37.8505305</v>
      </c>
      <c r="O11" s="49" t="n">
        <f aca="false">M11*N11</f>
        <v>7880.4804501</v>
      </c>
      <c r="P11" s="49" t="n">
        <f aca="false">IF(I11="Y",M11*J11%*'basic parameter'!$C$7*'basic parameter'!$C$9,0)</f>
        <v>0</v>
      </c>
      <c r="Q11" s="49" t="n">
        <f aca="false">MAX(O11-P11,0)</f>
        <v>7880.4804501</v>
      </c>
      <c r="R11" s="49" t="str">
        <f aca="false">IF(K11&gt;='basic parameter'!$C$8,"Y","N")</f>
        <v>Y</v>
      </c>
      <c r="S11" s="50" t="n">
        <f aca="false">IF(R11="Y",'basic parameter'!$C$11,0)</f>
        <v>5000</v>
      </c>
      <c r="T11" s="49" t="n">
        <f aca="false">E11*'basic parameter'!$C$10</f>
        <v>875</v>
      </c>
      <c r="U11" s="52" t="n">
        <f aca="false">('basic parameter'!$C$3*E11-L11)*N11+P11+S11-T11</f>
        <v>20022.22281</v>
      </c>
    </row>
    <row r="12" customFormat="false" ht="15" hidden="false" customHeight="true" outlineLevel="0" collapsed="false">
      <c r="A12" s="22" t="n">
        <v>11</v>
      </c>
      <c r="B12" s="22" t="s">
        <v>215</v>
      </c>
      <c r="C12" s="51" t="n">
        <v>46429</v>
      </c>
      <c r="D12" s="22" t="s">
        <v>142</v>
      </c>
      <c r="E12" s="22" t="n">
        <v>1200</v>
      </c>
      <c r="F12" s="22" t="s">
        <v>16</v>
      </c>
      <c r="G12" s="47" t="n">
        <v>2.05</v>
      </c>
      <c r="H12" s="47" t="n">
        <v>145</v>
      </c>
      <c r="I12" s="22" t="s">
        <v>24</v>
      </c>
      <c r="J12" s="47" t="n">
        <v>0</v>
      </c>
      <c r="K12" s="47" t="n">
        <v>1238993</v>
      </c>
      <c r="L12" s="49" t="n">
        <f aca="false">IF(G12&lt;&gt;"",E12*G12,E12*'basic parameter'!$C$3)</f>
        <v>2460</v>
      </c>
      <c r="M12" s="49" t="n">
        <f aca="false">L12-(H12*'basic parameter'!$C$12)</f>
        <v>2416.5</v>
      </c>
      <c r="N12" s="49" t="n">
        <f aca="false">'basic parameter'!$C$2*'basic parameter'!$C$6</f>
        <v>37.8505305</v>
      </c>
      <c r="O12" s="49" t="n">
        <f aca="false">M12*N12</f>
        <v>91465.80695325</v>
      </c>
      <c r="P12" s="49" t="n">
        <f aca="false">IF(I12="Y",M12*J12%*'basic parameter'!$C$7*'basic parameter'!$C$9,0)</f>
        <v>0</v>
      </c>
      <c r="Q12" s="49" t="n">
        <f aca="false">MAX(O12-P12,0)</f>
        <v>91465.80695325</v>
      </c>
      <c r="R12" s="49" t="str">
        <f aca="false">IF(K12&gt;='basic parameter'!$C$8,"Y","N")</f>
        <v>Y</v>
      </c>
      <c r="S12" s="50" t="n">
        <f aca="false">IF(R12="Y",'basic parameter'!$C$11,0)</f>
        <v>5000</v>
      </c>
      <c r="T12" s="49" t="n">
        <f aca="false">E12*'basic parameter'!$C$10</f>
        <v>3000</v>
      </c>
      <c r="U12" s="52" t="n">
        <f aca="false">('basic parameter'!$C$3*E12-L12)*N12+P12+S12-T12</f>
        <v>-9355.15915</v>
      </c>
    </row>
    <row r="13" customFormat="false" ht="15" hidden="false" customHeight="true" outlineLevel="0" collapsed="false">
      <c r="A13" s="22" t="n">
        <v>12</v>
      </c>
      <c r="B13" s="22" t="s">
        <v>216</v>
      </c>
      <c r="C13" s="51" t="n">
        <v>46430</v>
      </c>
      <c r="D13" s="22" t="s">
        <v>156</v>
      </c>
      <c r="E13" s="22" t="n">
        <v>2000</v>
      </c>
      <c r="F13" s="22" t="s">
        <v>214</v>
      </c>
      <c r="G13" s="47" t="n">
        <v>0.4</v>
      </c>
      <c r="H13" s="47" t="n">
        <v>214</v>
      </c>
      <c r="I13" s="22" t="s">
        <v>135</v>
      </c>
      <c r="J13" s="47" t="n">
        <v>80</v>
      </c>
      <c r="K13" s="47" t="n">
        <v>2181181</v>
      </c>
      <c r="L13" s="49" t="n">
        <f aca="false">IF(G13&lt;&gt;"",E13*G13,E13*'basic parameter'!$C$3)</f>
        <v>800</v>
      </c>
      <c r="M13" s="49" t="n">
        <f aca="false">L13-(H13*'basic parameter'!$C$12)</f>
        <v>735.8</v>
      </c>
      <c r="N13" s="49" t="n">
        <f aca="false">'basic parameter'!$C$2*'basic parameter'!$C$6</f>
        <v>37.8505305</v>
      </c>
      <c r="O13" s="49" t="n">
        <f aca="false">M13*N13</f>
        <v>27850.4203419</v>
      </c>
      <c r="P13" s="49" t="n">
        <f aca="false">IF(I13="Y",M13*J13%*'basic parameter'!$C$7*'basic parameter'!$C$9,0)</f>
        <v>6533.904</v>
      </c>
      <c r="Q13" s="49" t="n">
        <f aca="false">MAX(O13-P13,0)</f>
        <v>21316.5163419</v>
      </c>
      <c r="R13" s="49" t="str">
        <f aca="false">IF(K13&gt;='basic parameter'!$C$8,"Y","N")</f>
        <v>Y</v>
      </c>
      <c r="S13" s="50" t="n">
        <f aca="false">IF(R13="Y",'basic parameter'!$C$11,0)</f>
        <v>5000</v>
      </c>
      <c r="T13" s="49" t="n">
        <f aca="false">E13*'basic parameter'!$C$10</f>
        <v>5000</v>
      </c>
      <c r="U13" s="52" t="n">
        <f aca="false">('basic parameter'!$C$3*E13-L13)*N13+P13+S13-T13</f>
        <v>112515.3894</v>
      </c>
    </row>
    <row r="14" customFormat="false" ht="15" hidden="false" customHeight="true" outlineLevel="0" collapsed="false">
      <c r="A14" s="22" t="n">
        <v>13</v>
      </c>
      <c r="B14" s="22" t="s">
        <v>212</v>
      </c>
      <c r="C14" s="51" t="n">
        <v>46431</v>
      </c>
      <c r="D14" s="22" t="s">
        <v>154</v>
      </c>
      <c r="E14" s="22" t="n">
        <v>1500</v>
      </c>
      <c r="F14" s="22" t="s">
        <v>16</v>
      </c>
      <c r="G14" s="47" t="n">
        <v>1.75</v>
      </c>
      <c r="H14" s="47" t="n">
        <v>24</v>
      </c>
      <c r="I14" s="22" t="s">
        <v>135</v>
      </c>
      <c r="J14" s="47" t="n">
        <v>80</v>
      </c>
      <c r="K14" s="47" t="n">
        <v>1278918</v>
      </c>
      <c r="L14" s="49" t="n">
        <f aca="false">IF(G14&lt;&gt;"",E14*G14,E14*'basic parameter'!$C$3)</f>
        <v>2625</v>
      </c>
      <c r="M14" s="49" t="n">
        <f aca="false">L14-(H14*'basic parameter'!$C$12)</f>
        <v>2617.8</v>
      </c>
      <c r="N14" s="49" t="n">
        <f aca="false">'basic parameter'!$C$2*'basic parameter'!$C$6</f>
        <v>37.8505305</v>
      </c>
      <c r="O14" s="49" t="n">
        <f aca="false">M14*N14</f>
        <v>99085.1187429</v>
      </c>
      <c r="P14" s="49" t="n">
        <f aca="false">IF(I14="Y",M14*J14%*'basic parameter'!$C$7*'basic parameter'!$C$9,0)</f>
        <v>23246.064</v>
      </c>
      <c r="Q14" s="49" t="n">
        <f aca="false">MAX(O14-P14,0)</f>
        <v>75839.0547429</v>
      </c>
      <c r="R14" s="49" t="str">
        <f aca="false">IF(K14&gt;='basic parameter'!$C$8,"Y","N")</f>
        <v>Y</v>
      </c>
      <c r="S14" s="50" t="n">
        <f aca="false">IF(R14="Y",'basic parameter'!$C$11,0)</f>
        <v>5000</v>
      </c>
      <c r="T14" s="49" t="n">
        <f aca="false">E14*'basic parameter'!$C$10</f>
        <v>3750</v>
      </c>
      <c r="U14" s="52" t="n">
        <f aca="false">('basic parameter'!$C$3*E14-L14)*N14+P14+S14-T14</f>
        <v>27334.8537875</v>
      </c>
    </row>
    <row r="15" customFormat="false" ht="15" hidden="false" customHeight="true" outlineLevel="0" collapsed="false">
      <c r="A15" s="22" t="n">
        <v>14</v>
      </c>
      <c r="B15" s="22" t="s">
        <v>213</v>
      </c>
      <c r="C15" s="51" t="n">
        <v>46432</v>
      </c>
      <c r="D15" s="22" t="s">
        <v>144</v>
      </c>
      <c r="E15" s="22" t="n">
        <v>1200</v>
      </c>
      <c r="F15" s="22" t="s">
        <v>16</v>
      </c>
      <c r="G15" s="47" t="n">
        <v>2</v>
      </c>
      <c r="H15" s="47" t="n">
        <v>139</v>
      </c>
      <c r="I15" s="22" t="s">
        <v>135</v>
      </c>
      <c r="J15" s="47" t="n">
        <v>70</v>
      </c>
      <c r="K15" s="47" t="n">
        <v>1195920</v>
      </c>
      <c r="L15" s="49" t="n">
        <f aca="false">IF(G15&lt;&gt;"",E15*G15,E15*'basic parameter'!$C$3)</f>
        <v>2400</v>
      </c>
      <c r="M15" s="49" t="n">
        <f aca="false">L15-(H15*'basic parameter'!$C$12)</f>
        <v>2358.3</v>
      </c>
      <c r="N15" s="49" t="n">
        <f aca="false">'basic parameter'!$C$2*'basic parameter'!$C$6</f>
        <v>37.8505305</v>
      </c>
      <c r="O15" s="49" t="n">
        <f aca="false">M15*N15</f>
        <v>89262.90607815</v>
      </c>
      <c r="P15" s="49" t="n">
        <f aca="false">IF(I15="Y",M15*J15%*'basic parameter'!$C$7*'basic parameter'!$C$9,0)</f>
        <v>18323.991</v>
      </c>
      <c r="Q15" s="49" t="n">
        <f aca="false">MAX(O15-P15,0)</f>
        <v>70938.91507815</v>
      </c>
      <c r="R15" s="49" t="str">
        <f aca="false">IF(K15&gt;='basic parameter'!$C$8,"Y","N")</f>
        <v>Y</v>
      </c>
      <c r="S15" s="50" t="n">
        <f aca="false">IF(R15="Y",'basic parameter'!$C$11,0)</f>
        <v>5000</v>
      </c>
      <c r="T15" s="49" t="n">
        <f aca="false">E15*'basic parameter'!$C$10</f>
        <v>3000</v>
      </c>
      <c r="U15" s="52" t="n">
        <f aca="false">('basic parameter'!$C$3*E15-L15)*N15+P15+S15-T15</f>
        <v>11239.86368</v>
      </c>
    </row>
    <row r="16" customFormat="false" ht="15" hidden="false" customHeight="true" outlineLevel="0" collapsed="false">
      <c r="A16" s="22" t="n">
        <v>15</v>
      </c>
      <c r="B16" s="22" t="s">
        <v>215</v>
      </c>
      <c r="C16" s="51" t="n">
        <v>46461</v>
      </c>
      <c r="D16" s="22" t="s">
        <v>148</v>
      </c>
      <c r="E16" s="22" t="n">
        <v>200</v>
      </c>
      <c r="F16" s="22" t="s">
        <v>16</v>
      </c>
      <c r="G16" s="47" t="n">
        <v>2.3</v>
      </c>
      <c r="H16" s="47" t="n">
        <v>26</v>
      </c>
      <c r="I16" s="22" t="s">
        <v>24</v>
      </c>
      <c r="J16" s="47" t="n">
        <v>0</v>
      </c>
      <c r="K16" s="47" t="n">
        <v>204114</v>
      </c>
      <c r="L16" s="49" t="n">
        <f aca="false">IF(G16&lt;&gt;"",E16*G16,E16*'basic parameter'!$C$3)</f>
        <v>460</v>
      </c>
      <c r="M16" s="49" t="n">
        <f aca="false">L16-(H16*'basic parameter'!$C$12)</f>
        <v>452.2</v>
      </c>
      <c r="N16" s="49" t="n">
        <f aca="false">'basic parameter'!$C$2*'basic parameter'!$C$6</f>
        <v>37.8505305</v>
      </c>
      <c r="O16" s="49" t="n">
        <f aca="false">M16*N16</f>
        <v>17116.0098921</v>
      </c>
      <c r="P16" s="49" t="n">
        <f aca="false">IF(I16="Y",M16*J16%*'basic parameter'!$C$7*'basic parameter'!$C$9,0)</f>
        <v>0</v>
      </c>
      <c r="Q16" s="49" t="n">
        <f aca="false">MAX(O16-P16,0)</f>
        <v>17116.0098921</v>
      </c>
      <c r="R16" s="49" t="str">
        <f aca="false">IF(K16&gt;='basic parameter'!$C$8,"Y","N")</f>
        <v>Y</v>
      </c>
      <c r="S16" s="50" t="n">
        <f aca="false">IF(R16="Y",'basic parameter'!$C$11,0)</f>
        <v>5000</v>
      </c>
      <c r="T16" s="49" t="n">
        <f aca="false">E16*'basic parameter'!$C$10</f>
        <v>500</v>
      </c>
      <c r="U16" s="52" t="n">
        <f aca="false">('basic parameter'!$C$3*E16-L16)*N16+P16+S16-T16</f>
        <v>714.946950000002</v>
      </c>
    </row>
    <row r="17" customFormat="false" ht="15" hidden="false" customHeight="true" outlineLevel="0" collapsed="false">
      <c r="A17" s="22" t="n">
        <v>16</v>
      </c>
      <c r="B17" s="22" t="s">
        <v>216</v>
      </c>
      <c r="C17" s="51" t="n">
        <v>46462</v>
      </c>
      <c r="D17" s="22" t="s">
        <v>140</v>
      </c>
      <c r="E17" s="22" t="n">
        <v>350</v>
      </c>
      <c r="F17" s="22" t="s">
        <v>214</v>
      </c>
      <c r="G17" s="47" t="n">
        <v>0.55</v>
      </c>
      <c r="H17" s="47" t="n">
        <v>60</v>
      </c>
      <c r="I17" s="22" t="s">
        <v>24</v>
      </c>
      <c r="J17" s="47" t="n">
        <v>0</v>
      </c>
      <c r="K17" s="47" t="n">
        <v>368644</v>
      </c>
      <c r="L17" s="49" t="n">
        <f aca="false">IF(G17&lt;&gt;"",E17*G17,E17*'basic parameter'!$C$3)</f>
        <v>192.5</v>
      </c>
      <c r="M17" s="49" t="n">
        <f aca="false">L17-(H17*'basic parameter'!$C$12)</f>
        <v>174.5</v>
      </c>
      <c r="N17" s="49" t="n">
        <f aca="false">'basic parameter'!$C$2*'basic parameter'!$C$6</f>
        <v>37.8505305</v>
      </c>
      <c r="O17" s="49" t="n">
        <f aca="false">M17*N17</f>
        <v>6604.91757225</v>
      </c>
      <c r="P17" s="49" t="n">
        <f aca="false">IF(I17="Y",M17*J17%*'basic parameter'!$C$7*'basic parameter'!$C$9,0)</f>
        <v>0</v>
      </c>
      <c r="Q17" s="49" t="n">
        <f aca="false">MAX(O17-P17,0)</f>
        <v>6604.91757225</v>
      </c>
      <c r="R17" s="49" t="str">
        <f aca="false">IF(K17&gt;='basic parameter'!$C$8,"Y","N")</f>
        <v>Y</v>
      </c>
      <c r="S17" s="50" t="n">
        <f aca="false">IF(R17="Y",'basic parameter'!$C$11,0)</f>
        <v>5000</v>
      </c>
      <c r="T17" s="49" t="n">
        <f aca="false">E17*'basic parameter'!$C$10</f>
        <v>875</v>
      </c>
      <c r="U17" s="52" t="n">
        <f aca="false">('basic parameter'!$C$3*E17-L17)*N17+P17+S17-T17</f>
        <v>20684.60709375</v>
      </c>
    </row>
    <row r="18" customFormat="false" ht="15" hidden="false" customHeight="true" outlineLevel="0" collapsed="false">
      <c r="A18" s="22" t="n">
        <v>17</v>
      </c>
      <c r="B18" s="22" t="s">
        <v>212</v>
      </c>
      <c r="C18" s="51" t="n">
        <v>46463</v>
      </c>
      <c r="D18" s="22" t="s">
        <v>138</v>
      </c>
      <c r="E18" s="22" t="n">
        <v>1500</v>
      </c>
      <c r="F18" s="22" t="s">
        <v>16</v>
      </c>
      <c r="G18" s="47" t="n">
        <v>1.95</v>
      </c>
      <c r="H18" s="47" t="n">
        <v>83</v>
      </c>
      <c r="I18" s="22" t="s">
        <v>135</v>
      </c>
      <c r="J18" s="47" t="n">
        <v>80</v>
      </c>
      <c r="K18" s="47" t="n">
        <v>1458734</v>
      </c>
      <c r="L18" s="49" t="n">
        <f aca="false">IF(G18&lt;&gt;"",E18*G18,E18*'basic parameter'!$C$3)</f>
        <v>2925</v>
      </c>
      <c r="M18" s="49" t="n">
        <f aca="false">L18-(H18*'basic parameter'!$C$12)</f>
        <v>2900.1</v>
      </c>
      <c r="N18" s="49" t="n">
        <f aca="false">'basic parameter'!$C$2*'basic parameter'!$C$6</f>
        <v>37.8505305</v>
      </c>
      <c r="O18" s="49" t="n">
        <f aca="false">M18*N18</f>
        <v>109770.32350305</v>
      </c>
      <c r="P18" s="49" t="n">
        <f aca="false">IF(I18="Y",M18*J18%*'basic parameter'!$C$7*'basic parameter'!$C$9,0)</f>
        <v>25752.888</v>
      </c>
      <c r="Q18" s="49" t="n">
        <f aca="false">MAX(O18-P18,0)</f>
        <v>84017.43550305</v>
      </c>
      <c r="R18" s="49" t="str">
        <f aca="false">IF(K18&gt;='basic parameter'!$C$8,"Y","N")</f>
        <v>Y</v>
      </c>
      <c r="S18" s="50" t="n">
        <f aca="false">IF(R18="Y",'basic parameter'!$C$11,0)</f>
        <v>5000</v>
      </c>
      <c r="T18" s="49" t="n">
        <f aca="false">E18*'basic parameter'!$C$10</f>
        <v>3750</v>
      </c>
      <c r="U18" s="52" t="n">
        <f aca="false">('basic parameter'!$C$3*E18-L18)*N18+P18+S18-T18</f>
        <v>18486.5186375</v>
      </c>
    </row>
    <row r="19" customFormat="false" ht="15" hidden="false" customHeight="true" outlineLevel="0" collapsed="false">
      <c r="A19" s="22" t="n">
        <v>18</v>
      </c>
      <c r="B19" s="22" t="s">
        <v>213</v>
      </c>
      <c r="C19" s="51" t="n">
        <v>46464</v>
      </c>
      <c r="D19" s="22" t="s">
        <v>134</v>
      </c>
      <c r="E19" s="22" t="n">
        <v>1200</v>
      </c>
      <c r="F19" s="22" t="s">
        <v>16</v>
      </c>
      <c r="G19" s="47" t="n">
        <v>2.2</v>
      </c>
      <c r="H19" s="47" t="n">
        <v>39</v>
      </c>
      <c r="I19" s="22" t="s">
        <v>135</v>
      </c>
      <c r="J19" s="47" t="n">
        <v>60</v>
      </c>
      <c r="K19" s="47" t="n">
        <v>1049213</v>
      </c>
      <c r="L19" s="49" t="n">
        <f aca="false">IF(G19&lt;&gt;"",E19*G19,E19*'basic parameter'!$C$3)</f>
        <v>2640</v>
      </c>
      <c r="M19" s="49" t="n">
        <f aca="false">L19-(H19*'basic parameter'!$C$12)</f>
        <v>2628.3</v>
      </c>
      <c r="N19" s="49" t="n">
        <f aca="false">'basic parameter'!$C$2*'basic parameter'!$C$6</f>
        <v>37.8505305</v>
      </c>
      <c r="O19" s="49" t="n">
        <f aca="false">M19*N19</f>
        <v>99482.54931315</v>
      </c>
      <c r="P19" s="49" t="n">
        <f aca="false">IF(I19="Y",M19*J19%*'basic parameter'!$C$7*'basic parameter'!$C$9,0)</f>
        <v>17504.478</v>
      </c>
      <c r="Q19" s="49" t="n">
        <f aca="false">MAX(O19-P19,0)</f>
        <v>81978.07131315</v>
      </c>
      <c r="R19" s="49" t="str">
        <f aca="false">IF(K19&gt;='basic parameter'!$C$8,"Y","N")</f>
        <v>Y</v>
      </c>
      <c r="S19" s="50" t="n">
        <f aca="false">IF(R19="Y",'basic parameter'!$C$11,0)</f>
        <v>5000</v>
      </c>
      <c r="T19" s="49" t="n">
        <f aca="false">E19*'basic parameter'!$C$10</f>
        <v>3000</v>
      </c>
      <c r="U19" s="52" t="n">
        <f aca="false">('basic parameter'!$C$3*E19-L19)*N19+P19+S19-T19</f>
        <v>1336.22336</v>
      </c>
    </row>
    <row r="20" customFormat="false" ht="15" hidden="false" customHeight="true" outlineLevel="0" collapsed="false">
      <c r="A20" s="22" t="n">
        <v>19</v>
      </c>
      <c r="B20" s="22" t="s">
        <v>215</v>
      </c>
      <c r="C20" s="51" t="n">
        <v>46465</v>
      </c>
      <c r="D20" s="22" t="s">
        <v>10</v>
      </c>
      <c r="E20" s="22" t="n">
        <v>1000</v>
      </c>
      <c r="F20" s="22" t="s">
        <v>16</v>
      </c>
      <c r="G20" s="47" t="n">
        <v>2.55</v>
      </c>
      <c r="H20" s="47" t="n">
        <v>140</v>
      </c>
      <c r="I20" s="22" t="s">
        <v>24</v>
      </c>
      <c r="J20" s="47" t="n">
        <v>0</v>
      </c>
      <c r="K20" s="47" t="n">
        <v>989241</v>
      </c>
      <c r="L20" s="49" t="n">
        <f aca="false">IF(G20&lt;&gt;"",E20*G20,E20*'basic parameter'!$C$3)</f>
        <v>2550</v>
      </c>
      <c r="M20" s="49" t="n">
        <f aca="false">L20-(H20*'basic parameter'!$C$12)</f>
        <v>2508</v>
      </c>
      <c r="N20" s="49" t="n">
        <f aca="false">'basic parameter'!$C$2*'basic parameter'!$C$6</f>
        <v>37.8505305</v>
      </c>
      <c r="O20" s="49" t="n">
        <f aca="false">M20*N20</f>
        <v>94929.130494</v>
      </c>
      <c r="P20" s="49" t="n">
        <f aca="false">IF(I20="Y",M20*J20%*'basic parameter'!$C$7*'basic parameter'!$C$9,0)</f>
        <v>0</v>
      </c>
      <c r="Q20" s="49" t="n">
        <f aca="false">MAX(O20-P20,0)</f>
        <v>94929.130494</v>
      </c>
      <c r="R20" s="49" t="str">
        <f aca="false">IF(K20&gt;='basic parameter'!$C$8,"Y","N")</f>
        <v>Y</v>
      </c>
      <c r="S20" s="50" t="n">
        <f aca="false">IF(R20="Y",'basic parameter'!$C$11,0)</f>
        <v>5000</v>
      </c>
      <c r="T20" s="49" t="n">
        <f aca="false">E20*'basic parameter'!$C$10</f>
        <v>2500</v>
      </c>
      <c r="U20" s="52" t="n">
        <f aca="false">('basic parameter'!$C$3*E20-L20)*N20+P20+S20-T20</f>
        <v>-25887.897875</v>
      </c>
    </row>
    <row r="21" customFormat="false" ht="15" hidden="false" customHeight="true" outlineLevel="0" collapsed="false">
      <c r="A21" s="22" t="n">
        <v>20</v>
      </c>
      <c r="B21" s="22" t="s">
        <v>216</v>
      </c>
      <c r="C21" s="51" t="n">
        <v>46466</v>
      </c>
      <c r="D21" s="22" t="s">
        <v>158</v>
      </c>
      <c r="E21" s="22" t="n">
        <v>350</v>
      </c>
      <c r="F21" s="22" t="s">
        <v>214</v>
      </c>
      <c r="G21" s="47" t="n">
        <v>0.45</v>
      </c>
      <c r="H21" s="47" t="n">
        <v>43</v>
      </c>
      <c r="I21" s="22" t="s">
        <v>135</v>
      </c>
      <c r="J21" s="47" t="n">
        <v>80</v>
      </c>
      <c r="K21" s="47" t="n">
        <v>283464</v>
      </c>
      <c r="L21" s="49" t="n">
        <f aca="false">IF(G21&lt;&gt;"",E21*G21,E21*'basic parameter'!$C$3)</f>
        <v>157.5</v>
      </c>
      <c r="M21" s="49" t="n">
        <f aca="false">L21-(H21*'basic parameter'!$C$12)</f>
        <v>144.6</v>
      </c>
      <c r="N21" s="49" t="n">
        <f aca="false">'basic parameter'!$C$2*'basic parameter'!$C$6</f>
        <v>37.8505305</v>
      </c>
      <c r="O21" s="49" t="n">
        <f aca="false">M21*N21</f>
        <v>5473.1867103</v>
      </c>
      <c r="P21" s="49" t="n">
        <f aca="false">IF(I21="Y",M21*J21%*'basic parameter'!$C$7*'basic parameter'!$C$9,0)</f>
        <v>1284.048</v>
      </c>
      <c r="Q21" s="49" t="n">
        <f aca="false">MAX(O21-P21,0)</f>
        <v>4189.1387103</v>
      </c>
      <c r="R21" s="49" t="str">
        <f aca="false">IF(K21&gt;='basic parameter'!$C$8,"Y","N")</f>
        <v>Y</v>
      </c>
      <c r="S21" s="50" t="n">
        <f aca="false">IF(R21="Y",'basic parameter'!$C$11,0)</f>
        <v>5000</v>
      </c>
      <c r="T21" s="49" t="n">
        <f aca="false">E21*'basic parameter'!$C$10</f>
        <v>875</v>
      </c>
      <c r="U21" s="52" t="n">
        <f aca="false">('basic parameter'!$C$3*E21-L21)*N21+P21+S21-T21</f>
        <v>23293.42366125</v>
      </c>
    </row>
    <row r="23" customFormat="false" ht="41.25" hidden="false" customHeight="true" outlineLevel="0" collapsed="false">
      <c r="A23" s="42" t="s">
        <v>171</v>
      </c>
      <c r="B23" s="53" t="s">
        <v>217</v>
      </c>
      <c r="C23" s="53"/>
      <c r="D23" s="53"/>
      <c r="E23" s="53"/>
      <c r="F23" s="53"/>
      <c r="G23" s="53"/>
      <c r="H23" s="53"/>
    </row>
  </sheetData>
  <mergeCells count="1"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66" activePane="bottomRight" state="frozen"/>
      <selection pane="topLeft" activeCell="A1" activeCellId="0" sqref="A1"/>
      <selection pane="topRight" activeCell="E1" activeCellId="0" sqref="E1"/>
      <selection pane="bottomLeft" activeCell="A66" activeCellId="0" sqref="A6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6" min="11" style="1" width="14"/>
    <col collapsed="false" customWidth="true" hidden="false" outlineLevel="0" max="17" min="17" style="1" width="15"/>
    <col collapsed="false" customWidth="true" hidden="false" outlineLevel="0" max="18" min="18" style="1" width="13"/>
    <col collapsed="false" customWidth="true" hidden="false" outlineLevel="0" max="21" min="19" style="1" width="14"/>
  </cols>
  <sheetData>
    <row r="1" customFormat="false" ht="39.75" hidden="false" customHeight="true" outlineLevel="0" collapsed="false">
      <c r="A1" s="54" t="s">
        <v>62</v>
      </c>
      <c r="B1" s="54" t="s">
        <v>172</v>
      </c>
      <c r="C1" s="54" t="s">
        <v>6</v>
      </c>
      <c r="D1" s="54" t="s">
        <v>9</v>
      </c>
      <c r="E1" s="54" t="s">
        <v>12</v>
      </c>
      <c r="F1" s="54" t="s">
        <v>177</v>
      </c>
      <c r="G1" s="54" t="s">
        <v>179</v>
      </c>
      <c r="H1" s="54" t="s">
        <v>181</v>
      </c>
      <c r="I1" s="54" t="s">
        <v>23</v>
      </c>
      <c r="J1" s="54" t="s">
        <v>184</v>
      </c>
      <c r="K1" s="54" t="s">
        <v>186</v>
      </c>
      <c r="L1" s="55" t="s">
        <v>188</v>
      </c>
      <c r="M1" s="55" t="s">
        <v>191</v>
      </c>
      <c r="N1" s="55" t="s">
        <v>193</v>
      </c>
      <c r="O1" s="55" t="s">
        <v>195</v>
      </c>
      <c r="P1" s="55" t="s">
        <v>197</v>
      </c>
      <c r="Q1" s="55" t="s">
        <v>199</v>
      </c>
      <c r="R1" s="55" t="s">
        <v>202</v>
      </c>
      <c r="S1" s="55" t="s">
        <v>204</v>
      </c>
      <c r="T1" s="55" t="s">
        <v>206</v>
      </c>
      <c r="U1" s="55" t="s">
        <v>209</v>
      </c>
    </row>
    <row r="2" customFormat="false" ht="14.25" hidden="false" customHeight="true" outlineLevel="0" collapsed="false">
      <c r="A2" s="1" t="n">
        <v>1</v>
      </c>
      <c r="B2" s="1" t="s">
        <v>218</v>
      </c>
      <c r="C2" s="56" t="n">
        <v>46491</v>
      </c>
      <c r="D2" s="1" t="s">
        <v>138</v>
      </c>
      <c r="E2" s="57" t="n">
        <v>1000</v>
      </c>
      <c r="F2" s="1" t="s">
        <v>16</v>
      </c>
      <c r="G2" s="1" t="n">
        <v>1.86</v>
      </c>
      <c r="H2" s="57" t="n">
        <v>198</v>
      </c>
      <c r="I2" s="1" t="s">
        <v>135</v>
      </c>
      <c r="J2" s="1" t="n">
        <v>80</v>
      </c>
      <c r="K2" s="58" t="n">
        <v>981575</v>
      </c>
      <c r="L2" s="59" t="n">
        <f aca="false">IF(G2&lt;&gt;"",E2*G2,E2*'basic parameter'!$C$3)</f>
        <v>1860</v>
      </c>
      <c r="M2" s="59" t="n">
        <f aca="false">L2-(H2*'basic parameter'!$C$12)</f>
        <v>1800.6</v>
      </c>
      <c r="N2" s="60" t="n">
        <f aca="false">'basic parameter'!$C$2*'basic parameter'!$C$6</f>
        <v>37.8505305</v>
      </c>
      <c r="O2" s="58" t="n">
        <f aca="false">M2*N2</f>
        <v>68153.6652183</v>
      </c>
      <c r="P2" s="58" t="n">
        <f aca="false">IF(I2="Y",M2*J2%*'basic parameter'!$C$7*'basic parameter'!$C$9,0)</f>
        <v>15989.328</v>
      </c>
      <c r="Q2" s="58" t="n">
        <f aca="false">MAX(O2-P2,0)</f>
        <v>52164.3372183</v>
      </c>
      <c r="R2" s="1" t="str">
        <f aca="false">IF(K2&gt;='basic parameter'!$C$8,"Y","N")</f>
        <v>Y</v>
      </c>
      <c r="S2" s="58" t="n">
        <f aca="false">IF(R2="Y",'basic parameter'!$C$11,0)</f>
        <v>5000</v>
      </c>
      <c r="T2" s="58" t="n">
        <f aca="false">E2*'basic parameter'!$C$10</f>
        <v>2500</v>
      </c>
      <c r="U2" s="61" t="n">
        <f aca="false">('basic parameter'!$C$3*E2-L2)*N2+P2+S2-T2</f>
        <v>16218.29617</v>
      </c>
    </row>
    <row r="3" customFormat="false" ht="14.25" hidden="false" customHeight="true" outlineLevel="0" collapsed="false">
      <c r="A3" s="1" t="n">
        <v>2</v>
      </c>
      <c r="B3" s="1" t="s">
        <v>219</v>
      </c>
      <c r="C3" s="56" t="n">
        <v>46469</v>
      </c>
      <c r="D3" s="1" t="s">
        <v>160</v>
      </c>
      <c r="E3" s="57" t="n">
        <v>750</v>
      </c>
      <c r="F3" s="1" t="s">
        <v>214</v>
      </c>
      <c r="G3" s="1" t="n">
        <v>0.4</v>
      </c>
      <c r="H3" s="57" t="n">
        <v>54</v>
      </c>
      <c r="I3" s="1" t="s">
        <v>135</v>
      </c>
      <c r="J3" s="1" t="n">
        <v>80</v>
      </c>
      <c r="K3" s="58" t="n">
        <v>730754</v>
      </c>
      <c r="L3" s="59" t="n">
        <f aca="false">IF(G3&lt;&gt;"",E3*G3,E3*'basic parameter'!$C$3)</f>
        <v>300</v>
      </c>
      <c r="M3" s="59" t="n">
        <f aca="false">L3-(H3*'basic parameter'!$C$12)</f>
        <v>283.8</v>
      </c>
      <c r="N3" s="60" t="n">
        <f aca="false">'basic parameter'!$C$2*'basic parameter'!$C$6</f>
        <v>37.8505305</v>
      </c>
      <c r="O3" s="58" t="n">
        <f aca="false">M3*N3</f>
        <v>10741.9805559</v>
      </c>
      <c r="P3" s="58" t="n">
        <f aca="false">IF(I3="Y",M3*J3%*'basic parameter'!$C$7*'basic parameter'!$C$9,0)</f>
        <v>2520.144</v>
      </c>
      <c r="Q3" s="58" t="n">
        <f aca="false">MAX(O3-P3,0)</f>
        <v>8221.8365559</v>
      </c>
      <c r="R3" s="1" t="str">
        <f aca="false">IF(K3&gt;='basic parameter'!$C$8,"Y","N")</f>
        <v>Y</v>
      </c>
      <c r="S3" s="58" t="n">
        <f aca="false">IF(R3="Y",'basic parameter'!$C$11,0)</f>
        <v>5000</v>
      </c>
      <c r="T3" s="58" t="n">
        <f aca="false">E3*'basic parameter'!$C$10</f>
        <v>1875</v>
      </c>
      <c r="U3" s="61" t="n">
        <f aca="false">('basic parameter'!$C$3*E3-L3)*N3+P3+S3-T3</f>
        <v>45388.201025</v>
      </c>
    </row>
    <row r="4" customFormat="false" ht="14.25" hidden="false" customHeight="true" outlineLevel="0" collapsed="false">
      <c r="A4" s="1" t="n">
        <v>3</v>
      </c>
      <c r="B4" s="1" t="s">
        <v>220</v>
      </c>
      <c r="C4" s="56" t="n">
        <v>46417</v>
      </c>
      <c r="D4" s="1" t="s">
        <v>156</v>
      </c>
      <c r="E4" s="57" t="n">
        <v>3000</v>
      </c>
      <c r="F4" s="1" t="s">
        <v>214</v>
      </c>
      <c r="G4" s="1" t="n">
        <v>0.39</v>
      </c>
      <c r="H4" s="57" t="n">
        <v>643</v>
      </c>
      <c r="I4" s="1" t="s">
        <v>135</v>
      </c>
      <c r="J4" s="1" t="n">
        <v>80</v>
      </c>
      <c r="K4" s="58" t="n">
        <v>2674141</v>
      </c>
      <c r="L4" s="59" t="n">
        <f aca="false">IF(G4&lt;&gt;"",E4*G4,E4*'basic parameter'!$C$3)</f>
        <v>1170</v>
      </c>
      <c r="M4" s="59" t="n">
        <f aca="false">L4-(H4*'basic parameter'!$C$12)</f>
        <v>977.1</v>
      </c>
      <c r="N4" s="60" t="n">
        <f aca="false">'basic parameter'!$C$2*'basic parameter'!$C$6</f>
        <v>37.8505305</v>
      </c>
      <c r="O4" s="58" t="n">
        <f aca="false">M4*N4</f>
        <v>36983.75335155</v>
      </c>
      <c r="P4" s="58" t="n">
        <f aca="false">IF(I4="Y",M4*J4%*'basic parameter'!$C$7*'basic parameter'!$C$9,0)</f>
        <v>8676.648</v>
      </c>
      <c r="Q4" s="58" t="n">
        <f aca="false">MAX(O4-P4,0)</f>
        <v>28307.10535155</v>
      </c>
      <c r="R4" s="1" t="str">
        <f aca="false">IF(K4&gt;='basic parameter'!$C$8,"Y","N")</f>
        <v>Y</v>
      </c>
      <c r="S4" s="58" t="n">
        <f aca="false">IF(R4="Y",'basic parameter'!$C$11,0)</f>
        <v>5000</v>
      </c>
      <c r="T4" s="58" t="n">
        <f aca="false">E4*'basic parameter'!$C$10</f>
        <v>7500</v>
      </c>
      <c r="U4" s="61" t="n">
        <f aca="false">('basic parameter'!$C$3*E4-L4)*N4+P4+S4-T4</f>
        <v>166284.392015</v>
      </c>
    </row>
    <row r="5" customFormat="false" ht="14.25" hidden="false" customHeight="true" outlineLevel="0" collapsed="false">
      <c r="A5" s="1" t="n">
        <v>4</v>
      </c>
      <c r="B5" s="1" t="s">
        <v>221</v>
      </c>
      <c r="C5" s="56" t="n">
        <v>46498</v>
      </c>
      <c r="D5" s="1" t="s">
        <v>138</v>
      </c>
      <c r="E5" s="57" t="n">
        <v>500</v>
      </c>
      <c r="F5" s="1" t="s">
        <v>16</v>
      </c>
      <c r="G5" s="1" t="n">
        <v>2.02</v>
      </c>
      <c r="H5" s="57" t="n">
        <v>50</v>
      </c>
      <c r="I5" s="1" t="s">
        <v>135</v>
      </c>
      <c r="J5" s="1" t="n">
        <v>80</v>
      </c>
      <c r="K5" s="58" t="n">
        <v>435817</v>
      </c>
      <c r="L5" s="59" t="n">
        <f aca="false">IF(G5&lt;&gt;"",E5*G5,E5*'basic parameter'!$C$3)</f>
        <v>1010</v>
      </c>
      <c r="M5" s="59" t="n">
        <f aca="false">L5-(H5*'basic parameter'!$C$12)</f>
        <v>995</v>
      </c>
      <c r="N5" s="60" t="n">
        <f aca="false">'basic parameter'!$C$2*'basic parameter'!$C$6</f>
        <v>37.8505305</v>
      </c>
      <c r="O5" s="58" t="n">
        <f aca="false">M5*N5</f>
        <v>37661.2778475</v>
      </c>
      <c r="P5" s="58" t="n">
        <f aca="false">IF(I5="Y",M5*J5%*'basic parameter'!$C$7*'basic parameter'!$C$9,0)</f>
        <v>8835.6</v>
      </c>
      <c r="Q5" s="58" t="n">
        <f aca="false">MAX(O5-P5,0)</f>
        <v>28825.6778475</v>
      </c>
      <c r="R5" s="1" t="str">
        <f aca="false">IF(K5&gt;='basic parameter'!$C$8,"Y","N")</f>
        <v>Y</v>
      </c>
      <c r="S5" s="58" t="n">
        <f aca="false">IF(R5="Y",'basic parameter'!$C$11,0)</f>
        <v>5000</v>
      </c>
      <c r="T5" s="58" t="n">
        <f aca="false">E5*'basic parameter'!$C$10</f>
        <v>1250</v>
      </c>
      <c r="U5" s="61" t="n">
        <f aca="false">('basic parameter'!$C$3*E5-L5)*N5+P5+S5-T5</f>
        <v>8422.041645</v>
      </c>
    </row>
    <row r="6" customFormat="false" ht="14.25" hidden="false" customHeight="true" outlineLevel="0" collapsed="false">
      <c r="A6" s="1" t="n">
        <v>5</v>
      </c>
      <c r="B6" s="1" t="s">
        <v>222</v>
      </c>
      <c r="C6" s="56" t="n">
        <v>46497</v>
      </c>
      <c r="D6" s="1" t="s">
        <v>144</v>
      </c>
      <c r="E6" s="57" t="n">
        <v>1000</v>
      </c>
      <c r="F6" s="1" t="s">
        <v>16</v>
      </c>
      <c r="G6" s="1" t="n">
        <v>2.05</v>
      </c>
      <c r="H6" s="57" t="n">
        <v>153</v>
      </c>
      <c r="I6" s="1" t="s">
        <v>135</v>
      </c>
      <c r="J6" s="1" t="n">
        <v>70</v>
      </c>
      <c r="K6" s="58" t="n">
        <v>755970</v>
      </c>
      <c r="L6" s="59" t="n">
        <f aca="false">IF(G6&lt;&gt;"",E6*G6,E6*'basic parameter'!$C$3)</f>
        <v>2050</v>
      </c>
      <c r="M6" s="59" t="n">
        <f aca="false">L6-(H6*'basic parameter'!$C$12)</f>
        <v>2004.1</v>
      </c>
      <c r="N6" s="60" t="n">
        <f aca="false">'basic parameter'!$C$2*'basic parameter'!$C$6</f>
        <v>37.8505305</v>
      </c>
      <c r="O6" s="58" t="n">
        <f aca="false">M6*N6</f>
        <v>75856.24817505</v>
      </c>
      <c r="P6" s="58" t="n">
        <f aca="false">IF(I6="Y",M6*J6%*'basic parameter'!$C$7*'basic parameter'!$C$9,0)</f>
        <v>15571.857</v>
      </c>
      <c r="Q6" s="58" t="n">
        <f aca="false">MAX(O6-P6,0)</f>
        <v>60284.39117505</v>
      </c>
      <c r="R6" s="1" t="str">
        <f aca="false">IF(K6&gt;='basic parameter'!$C$8,"Y","N")</f>
        <v>Y</v>
      </c>
      <c r="S6" s="58" t="n">
        <f aca="false">IF(R6="Y",'basic parameter'!$C$11,0)</f>
        <v>5000</v>
      </c>
      <c r="T6" s="58" t="n">
        <f aca="false">E6*'basic parameter'!$C$10</f>
        <v>2500</v>
      </c>
      <c r="U6" s="61" t="n">
        <f aca="false">('basic parameter'!$C$3*E6-L6)*N6+P6+S6-T6</f>
        <v>8609.224375</v>
      </c>
    </row>
    <row r="7" customFormat="false" ht="14.25" hidden="false" customHeight="true" outlineLevel="0" collapsed="false">
      <c r="A7" s="1" t="n">
        <v>6</v>
      </c>
      <c r="B7" s="1" t="s">
        <v>223</v>
      </c>
      <c r="C7" s="56" t="n">
        <v>46485</v>
      </c>
      <c r="D7" s="1" t="s">
        <v>224</v>
      </c>
      <c r="E7" s="57" t="n">
        <v>1500</v>
      </c>
      <c r="F7" s="1" t="s">
        <v>16</v>
      </c>
      <c r="G7" s="1" t="n">
        <v>1.82</v>
      </c>
      <c r="H7" s="57" t="n">
        <v>97</v>
      </c>
      <c r="I7" s="1" t="s">
        <v>135</v>
      </c>
      <c r="J7" s="1" t="n">
        <v>80</v>
      </c>
      <c r="K7" s="58" t="n">
        <v>1116294</v>
      </c>
      <c r="L7" s="59" t="n">
        <f aca="false">IF(G7&lt;&gt;"",E7*G7,E7*'basic parameter'!$C$3)</f>
        <v>2730</v>
      </c>
      <c r="M7" s="59" t="n">
        <f aca="false">L7-(H7*'basic parameter'!$C$12)</f>
        <v>2700.9</v>
      </c>
      <c r="N7" s="60" t="n">
        <f aca="false">'basic parameter'!$C$2*'basic parameter'!$C$6</f>
        <v>37.8505305</v>
      </c>
      <c r="O7" s="58" t="n">
        <f aca="false">M7*N7</f>
        <v>102230.49782745</v>
      </c>
      <c r="P7" s="58" t="n">
        <f aca="false">IF(I7="Y",M7*J7%*'basic parameter'!$C$7*'basic parameter'!$C$9,0)</f>
        <v>23983.992</v>
      </c>
      <c r="Q7" s="58" t="n">
        <f aca="false">MAX(O7-P7,0)</f>
        <v>78246.50582745</v>
      </c>
      <c r="R7" s="1" t="str">
        <f aca="false">IF(K7&gt;='basic parameter'!$C$8,"Y","N")</f>
        <v>Y</v>
      </c>
      <c r="S7" s="58" t="n">
        <f aca="false">IF(R7="Y",'basic parameter'!$C$11,0)</f>
        <v>5000</v>
      </c>
      <c r="T7" s="58" t="n">
        <f aca="false">E7*'basic parameter'!$C$10</f>
        <v>3750</v>
      </c>
      <c r="U7" s="61" t="n">
        <f aca="false">('basic parameter'!$C$3*E7-L7)*N7+P7+S7-T7</f>
        <v>24098.476085</v>
      </c>
    </row>
    <row r="8" customFormat="false" ht="14.25" hidden="false" customHeight="true" outlineLevel="0" collapsed="false">
      <c r="A8" s="1" t="n">
        <v>7</v>
      </c>
      <c r="B8" s="1" t="s">
        <v>225</v>
      </c>
      <c r="C8" s="56" t="n">
        <v>46470</v>
      </c>
      <c r="D8" s="1" t="s">
        <v>10</v>
      </c>
      <c r="E8" s="57" t="n">
        <v>750</v>
      </c>
      <c r="F8" s="1" t="s">
        <v>214</v>
      </c>
      <c r="G8" s="1" t="n">
        <v>2.15</v>
      </c>
      <c r="H8" s="57" t="n">
        <v>110</v>
      </c>
      <c r="I8" s="1" t="s">
        <v>24</v>
      </c>
      <c r="J8" s="1" t="n">
        <v>0</v>
      </c>
      <c r="K8" s="58" t="n">
        <v>551529</v>
      </c>
      <c r="L8" s="59" t="n">
        <f aca="false">IF(G8&lt;&gt;"",E8*G8,E8*'basic parameter'!$C$3)</f>
        <v>1612.5</v>
      </c>
      <c r="M8" s="59" t="n">
        <f aca="false">L8-(H8*'basic parameter'!$C$12)</f>
        <v>1579.5</v>
      </c>
      <c r="N8" s="60" t="n">
        <f aca="false">'basic parameter'!$C$2*'basic parameter'!$C$6</f>
        <v>37.8505305</v>
      </c>
      <c r="O8" s="58" t="n">
        <f aca="false">M8*N8</f>
        <v>59784.91292475</v>
      </c>
      <c r="P8" s="58" t="n">
        <f aca="false">IF(I8="Y",M8*J8%*'basic parameter'!$C$7*'basic parameter'!$C$9,0)</f>
        <v>0</v>
      </c>
      <c r="Q8" s="58" t="n">
        <f aca="false">MAX(O8-P8,0)</f>
        <v>59784.91292475</v>
      </c>
      <c r="R8" s="1" t="str">
        <f aca="false">IF(K8&gt;='basic parameter'!$C$8,"Y","N")</f>
        <v>Y</v>
      </c>
      <c r="S8" s="58" t="n">
        <f aca="false">IF(R8="Y",'basic parameter'!$C$11,0)</f>
        <v>5000</v>
      </c>
      <c r="T8" s="58" t="n">
        <f aca="false">E8*'basic parameter'!$C$10</f>
        <v>1875</v>
      </c>
      <c r="U8" s="61" t="n">
        <f aca="false">('basic parameter'!$C$3*E8-L8)*N8+P8+S8-T8</f>
        <v>-6810.76425625</v>
      </c>
    </row>
    <row r="9" customFormat="false" ht="14.25" hidden="false" customHeight="true" outlineLevel="0" collapsed="false">
      <c r="A9" s="1" t="n">
        <v>8</v>
      </c>
      <c r="B9" s="1" t="s">
        <v>226</v>
      </c>
      <c r="C9" s="56" t="n">
        <v>46402</v>
      </c>
      <c r="D9" s="1" t="s">
        <v>142</v>
      </c>
      <c r="E9" s="57" t="n">
        <v>250</v>
      </c>
      <c r="F9" s="1" t="s">
        <v>16</v>
      </c>
      <c r="G9" s="1" t="n">
        <v>2.05</v>
      </c>
      <c r="H9" s="57" t="n">
        <v>31</v>
      </c>
      <c r="I9" s="1" t="s">
        <v>24</v>
      </c>
      <c r="J9" s="1" t="n">
        <v>0</v>
      </c>
      <c r="K9" s="58" t="n">
        <v>199480</v>
      </c>
      <c r="L9" s="59" t="n">
        <f aca="false">IF(G9&lt;&gt;"",E9*G9,E9*'basic parameter'!$C$3)</f>
        <v>512.5</v>
      </c>
      <c r="M9" s="59" t="n">
        <f aca="false">L9-(H9*'basic parameter'!$C$12)</f>
        <v>503.2</v>
      </c>
      <c r="N9" s="60" t="n">
        <f aca="false">'basic parameter'!$C$2*'basic parameter'!$C$6</f>
        <v>37.8505305</v>
      </c>
      <c r="O9" s="58" t="n">
        <f aca="false">M9*N9</f>
        <v>19046.3869476</v>
      </c>
      <c r="P9" s="58" t="n">
        <f aca="false">IF(I9="Y",M9*J9%*'basic parameter'!$C$7*'basic parameter'!$C$9,0)</f>
        <v>0</v>
      </c>
      <c r="Q9" s="58" t="n">
        <f aca="false">MAX(O9-P9,0)</f>
        <v>19046.3869476</v>
      </c>
      <c r="R9" s="1" t="str">
        <f aca="false">IF(K9&gt;='basic parameter'!$C$8,"Y","N")</f>
        <v>Y</v>
      </c>
      <c r="S9" s="58" t="n">
        <f aca="false">IF(R9="Y",'basic parameter'!$C$11,0)</f>
        <v>5000</v>
      </c>
      <c r="T9" s="58" t="n">
        <f aca="false">E9*'basic parameter'!$C$10</f>
        <v>625</v>
      </c>
      <c r="U9" s="61" t="n">
        <f aca="false">('basic parameter'!$C$3*E9-L9)*N9+P9+S9-T9</f>
        <v>2009.34184375</v>
      </c>
    </row>
    <row r="10" customFormat="false" ht="14.25" hidden="false" customHeight="true" outlineLevel="0" collapsed="false">
      <c r="A10" s="1" t="n">
        <v>9</v>
      </c>
      <c r="B10" s="1" t="s">
        <v>227</v>
      </c>
      <c r="C10" s="56" t="n">
        <v>46403</v>
      </c>
      <c r="D10" s="1" t="s">
        <v>158</v>
      </c>
      <c r="E10" s="57" t="n">
        <v>250</v>
      </c>
      <c r="F10" s="1" t="s">
        <v>214</v>
      </c>
      <c r="G10" s="1" t="n">
        <v>0.45</v>
      </c>
      <c r="H10" s="57" t="n">
        <v>34</v>
      </c>
      <c r="I10" s="1" t="s">
        <v>135</v>
      </c>
      <c r="J10" s="1" t="n">
        <v>80</v>
      </c>
      <c r="K10" s="58" t="n">
        <v>240843</v>
      </c>
      <c r="L10" s="59" t="n">
        <f aca="false">IF(G10&lt;&gt;"",E10*G10,E10*'basic parameter'!$C$3)</f>
        <v>112.5</v>
      </c>
      <c r="M10" s="59" t="n">
        <f aca="false">L10-(H10*'basic parameter'!$C$12)</f>
        <v>102.3</v>
      </c>
      <c r="N10" s="60" t="n">
        <f aca="false">'basic parameter'!$C$2*'basic parameter'!$C$6</f>
        <v>37.8505305</v>
      </c>
      <c r="O10" s="58" t="n">
        <f aca="false">M10*N10</f>
        <v>3872.10927015</v>
      </c>
      <c r="P10" s="58" t="n">
        <f aca="false">IF(I10="Y",M10*J10%*'basic parameter'!$C$7*'basic parameter'!$C$9,0)</f>
        <v>908.424</v>
      </c>
      <c r="Q10" s="58" t="n">
        <f aca="false">MAX(O10-P10,0)</f>
        <v>2963.68527015</v>
      </c>
      <c r="R10" s="1" t="str">
        <f aca="false">IF(K10&gt;='basic parameter'!$C$8,"Y","N")</f>
        <v>Y</v>
      </c>
      <c r="S10" s="58" t="n">
        <f aca="false">IF(R10="Y",'basic parameter'!$C$11,0)</f>
        <v>5000</v>
      </c>
      <c r="T10" s="58" t="n">
        <f aca="false">E10*'basic parameter'!$C$10</f>
        <v>625</v>
      </c>
      <c r="U10" s="61" t="n">
        <f aca="false">('basic parameter'!$C$3*E10-L10)*N10+P10+S10-T10</f>
        <v>18057.97804375</v>
      </c>
    </row>
    <row r="11" customFormat="false" ht="14.25" hidden="false" customHeight="true" outlineLevel="0" collapsed="false">
      <c r="A11" s="1" t="n">
        <v>10</v>
      </c>
      <c r="B11" s="1" t="s">
        <v>228</v>
      </c>
      <c r="C11" s="56" t="n">
        <v>46435</v>
      </c>
      <c r="D11" s="1" t="s">
        <v>142</v>
      </c>
      <c r="E11" s="57" t="n">
        <v>150</v>
      </c>
      <c r="F11" s="1" t="s">
        <v>214</v>
      </c>
      <c r="G11" s="1" t="n">
        <v>0.57</v>
      </c>
      <c r="H11" s="57" t="n">
        <v>0</v>
      </c>
      <c r="I11" s="1" t="s">
        <v>24</v>
      </c>
      <c r="J11" s="1" t="n">
        <v>0</v>
      </c>
      <c r="K11" s="58" t="n">
        <v>127612</v>
      </c>
      <c r="L11" s="59" t="n">
        <f aca="false">IF(G11&lt;&gt;"",E11*G11,E11*'basic parameter'!$C$3)</f>
        <v>85.5</v>
      </c>
      <c r="M11" s="59" t="n">
        <f aca="false">L11-(H11*'basic parameter'!$C$12)</f>
        <v>85.5</v>
      </c>
      <c r="N11" s="60" t="n">
        <f aca="false">'basic parameter'!$C$2*'basic parameter'!$C$6</f>
        <v>37.8505305</v>
      </c>
      <c r="O11" s="58" t="n">
        <f aca="false">M11*N11</f>
        <v>3236.22035775</v>
      </c>
      <c r="P11" s="58" t="n">
        <f aca="false">IF(I11="Y",M11*J11%*'basic parameter'!$C$7*'basic parameter'!$C$9,0)</f>
        <v>0</v>
      </c>
      <c r="Q11" s="58" t="n">
        <f aca="false">MAX(O11-P11,0)</f>
        <v>3236.22035775</v>
      </c>
      <c r="R11" s="1" t="str">
        <f aca="false">IF(K11&gt;='basic parameter'!$C$8,"Y","N")</f>
        <v>Y</v>
      </c>
      <c r="S11" s="58" t="n">
        <f aca="false">IF(R11="Y",'basic parameter'!$C$11,0)</f>
        <v>5000</v>
      </c>
      <c r="T11" s="58" t="n">
        <f aca="false">E11*'basic parameter'!$C$10</f>
        <v>375</v>
      </c>
      <c r="U11" s="61" t="n">
        <f aca="false">('basic parameter'!$C$3*E11-L11)*N11+P11+S11-T11</f>
        <v>11608.42287725</v>
      </c>
    </row>
    <row r="12" customFormat="false" ht="14.25" hidden="false" customHeight="true" outlineLevel="0" collapsed="false">
      <c r="A12" s="1" t="n">
        <v>11</v>
      </c>
      <c r="B12" s="1" t="s">
        <v>229</v>
      </c>
      <c r="C12" s="56" t="n">
        <v>46447</v>
      </c>
      <c r="D12" s="1" t="s">
        <v>134</v>
      </c>
      <c r="E12" s="57" t="n">
        <v>1500</v>
      </c>
      <c r="F12" s="1" t="s">
        <v>16</v>
      </c>
      <c r="G12" s="1" t="n">
        <v>2.27</v>
      </c>
      <c r="H12" s="57" t="n">
        <v>77</v>
      </c>
      <c r="I12" s="1" t="s">
        <v>135</v>
      </c>
      <c r="J12" s="1" t="n">
        <v>80</v>
      </c>
      <c r="K12" s="58" t="n">
        <v>1600879</v>
      </c>
      <c r="L12" s="59" t="n">
        <f aca="false">IF(G12&lt;&gt;"",E12*G12,E12*'basic parameter'!$C$3)</f>
        <v>3405</v>
      </c>
      <c r="M12" s="59" t="n">
        <f aca="false">L12-(H12*'basic parameter'!$C$12)</f>
        <v>3381.9</v>
      </c>
      <c r="N12" s="60" t="n">
        <f aca="false">'basic parameter'!$C$2*'basic parameter'!$C$6</f>
        <v>37.8505305</v>
      </c>
      <c r="O12" s="58" t="n">
        <f aca="false">M12*N12</f>
        <v>128006.70909795</v>
      </c>
      <c r="P12" s="58" t="n">
        <f aca="false">IF(I12="Y",M12*J12%*'basic parameter'!$C$7*'basic parameter'!$C$9,0)</f>
        <v>30031.272</v>
      </c>
      <c r="Q12" s="58" t="n">
        <f aca="false">MAX(O12-P12,0)</f>
        <v>97975.43709795</v>
      </c>
      <c r="R12" s="1" t="str">
        <f aca="false">IF(K12&gt;='basic parameter'!$C$8,"Y","N")</f>
        <v>Y</v>
      </c>
      <c r="S12" s="58" t="n">
        <f aca="false">IF(R12="Y",'basic parameter'!$C$11,0)</f>
        <v>5000</v>
      </c>
      <c r="T12" s="58" t="n">
        <f aca="false">E12*'basic parameter'!$C$10</f>
        <v>3750</v>
      </c>
      <c r="U12" s="61" t="n">
        <f aca="false">('basic parameter'!$C$3*E12-L12)*N12+P12+S12-T12</f>
        <v>4596.64799750001</v>
      </c>
    </row>
    <row r="13" customFormat="false" ht="14.25" hidden="false" customHeight="true" outlineLevel="0" collapsed="false">
      <c r="A13" s="1" t="n">
        <v>12</v>
      </c>
      <c r="B13" s="1" t="s">
        <v>230</v>
      </c>
      <c r="C13" s="56" t="n">
        <v>46469</v>
      </c>
      <c r="D13" s="1" t="s">
        <v>160</v>
      </c>
      <c r="E13" s="57" t="n">
        <v>150</v>
      </c>
      <c r="F13" s="1" t="s">
        <v>16</v>
      </c>
      <c r="G13" s="1" t="n">
        <v>1.8</v>
      </c>
      <c r="H13" s="57" t="n">
        <v>18</v>
      </c>
      <c r="I13" s="1" t="s">
        <v>135</v>
      </c>
      <c r="J13" s="1" t="n">
        <v>80</v>
      </c>
      <c r="K13" s="58" t="n">
        <v>157955</v>
      </c>
      <c r="L13" s="59" t="n">
        <f aca="false">IF(G13&lt;&gt;"",E13*G13,E13*'basic parameter'!$C$3)</f>
        <v>270</v>
      </c>
      <c r="M13" s="59" t="n">
        <f aca="false">L13-(H13*'basic parameter'!$C$12)</f>
        <v>264.6</v>
      </c>
      <c r="N13" s="60" t="n">
        <f aca="false">'basic parameter'!$C$2*'basic parameter'!$C$6</f>
        <v>37.8505305</v>
      </c>
      <c r="O13" s="58" t="n">
        <f aca="false">M13*N13</f>
        <v>10015.2503703</v>
      </c>
      <c r="P13" s="58" t="n">
        <f aca="false">IF(I13="Y",M13*J13%*'basic parameter'!$C$7*'basic parameter'!$C$9,0)</f>
        <v>2349.648</v>
      </c>
      <c r="Q13" s="58" t="n">
        <f aca="false">MAX(O13-P13,0)</f>
        <v>7665.6023703</v>
      </c>
      <c r="R13" s="1" t="str">
        <f aca="false">IF(K13&gt;='basic parameter'!$C$8,"Y","N")</f>
        <v>Y</v>
      </c>
      <c r="S13" s="58" t="n">
        <f aca="false">IF(R13="Y",'basic parameter'!$C$11,0)</f>
        <v>5000</v>
      </c>
      <c r="T13" s="58" t="n">
        <f aca="false">E13*'basic parameter'!$C$10</f>
        <v>375</v>
      </c>
      <c r="U13" s="61" t="n">
        <f aca="false">('basic parameter'!$C$3*E13-L13)*N13+P13+S13-T13</f>
        <v>6974.648</v>
      </c>
    </row>
    <row r="14" customFormat="false" ht="14.25" hidden="false" customHeight="true" outlineLevel="0" collapsed="false">
      <c r="A14" s="1" t="n">
        <v>13</v>
      </c>
      <c r="B14" s="1" t="s">
        <v>231</v>
      </c>
      <c r="C14" s="56" t="n">
        <v>46399</v>
      </c>
      <c r="D14" s="1" t="s">
        <v>156</v>
      </c>
      <c r="E14" s="57" t="n">
        <v>3000</v>
      </c>
      <c r="F14" s="1" t="s">
        <v>214</v>
      </c>
      <c r="G14" s="1" t="n">
        <v>0.39</v>
      </c>
      <c r="H14" s="57" t="n">
        <v>496</v>
      </c>
      <c r="I14" s="1" t="s">
        <v>135</v>
      </c>
      <c r="J14" s="1" t="n">
        <v>80</v>
      </c>
      <c r="K14" s="58" t="n">
        <v>2230461</v>
      </c>
      <c r="L14" s="59" t="n">
        <f aca="false">IF(G14&lt;&gt;"",E14*G14,E14*'basic parameter'!$C$3)</f>
        <v>1170</v>
      </c>
      <c r="M14" s="59" t="n">
        <f aca="false">L14-(H14*'basic parameter'!$C$12)</f>
        <v>1021.2</v>
      </c>
      <c r="N14" s="60" t="n">
        <f aca="false">'basic parameter'!$C$2*'basic parameter'!$C$6</f>
        <v>37.8505305</v>
      </c>
      <c r="O14" s="58" t="n">
        <f aca="false">M14*N14</f>
        <v>38652.9617466</v>
      </c>
      <c r="P14" s="58" t="n">
        <f aca="false">IF(I14="Y",M14*J14%*'basic parameter'!$C$7*'basic parameter'!$C$9,0)</f>
        <v>9068.256</v>
      </c>
      <c r="Q14" s="58" t="n">
        <f aca="false">MAX(O14-P14,0)</f>
        <v>29584.7057466</v>
      </c>
      <c r="R14" s="1" t="str">
        <f aca="false">IF(K14&gt;='basic parameter'!$C$8,"Y","N")</f>
        <v>Y</v>
      </c>
      <c r="S14" s="58" t="n">
        <f aca="false">IF(R14="Y",'basic parameter'!$C$11,0)</f>
        <v>5000</v>
      </c>
      <c r="T14" s="58" t="n">
        <f aca="false">E14*'basic parameter'!$C$10</f>
        <v>7500</v>
      </c>
      <c r="U14" s="61" t="n">
        <f aca="false">('basic parameter'!$C$3*E14-L14)*N14+P14+S14-T14</f>
        <v>166676.000015</v>
      </c>
    </row>
    <row r="15" customFormat="false" ht="14.25" hidden="false" customHeight="true" outlineLevel="0" collapsed="false">
      <c r="A15" s="1" t="n">
        <v>14</v>
      </c>
      <c r="B15" s="1" t="s">
        <v>232</v>
      </c>
      <c r="C15" s="56" t="n">
        <v>46420</v>
      </c>
      <c r="D15" s="1" t="s">
        <v>158</v>
      </c>
      <c r="E15" s="57" t="n">
        <v>1500</v>
      </c>
      <c r="F15" s="1" t="s">
        <v>214</v>
      </c>
      <c r="G15" s="1" t="n">
        <v>0.46</v>
      </c>
      <c r="H15" s="57" t="n">
        <v>278</v>
      </c>
      <c r="I15" s="1" t="s">
        <v>135</v>
      </c>
      <c r="J15" s="1" t="n">
        <v>80</v>
      </c>
      <c r="K15" s="58" t="n">
        <v>1141304</v>
      </c>
      <c r="L15" s="59" t="n">
        <f aca="false">IF(G15&lt;&gt;"",E15*G15,E15*'basic parameter'!$C$3)</f>
        <v>690</v>
      </c>
      <c r="M15" s="59" t="n">
        <f aca="false">L15-(H15*'basic parameter'!$C$12)</f>
        <v>606.6</v>
      </c>
      <c r="N15" s="60" t="n">
        <f aca="false">'basic parameter'!$C$2*'basic parameter'!$C$6</f>
        <v>37.8505305</v>
      </c>
      <c r="O15" s="58" t="n">
        <f aca="false">M15*N15</f>
        <v>22960.1318013</v>
      </c>
      <c r="P15" s="58" t="n">
        <f aca="false">IF(I15="Y",M15*J15%*'basic parameter'!$C$7*'basic parameter'!$C$9,0)</f>
        <v>5386.608</v>
      </c>
      <c r="Q15" s="58" t="n">
        <f aca="false">MAX(O15-P15,0)</f>
        <v>17573.5238013</v>
      </c>
      <c r="R15" s="1" t="str">
        <f aca="false">IF(K15&gt;='basic parameter'!$C$8,"Y","N")</f>
        <v>Y</v>
      </c>
      <c r="S15" s="58" t="n">
        <f aca="false">IF(R15="Y",'basic parameter'!$C$11,0)</f>
        <v>5000</v>
      </c>
      <c r="T15" s="58" t="n">
        <f aca="false">E15*'basic parameter'!$C$10</f>
        <v>3750</v>
      </c>
      <c r="U15" s="61" t="n">
        <f aca="false">('basic parameter'!$C$3*E15-L15)*N15+P15+S15-T15</f>
        <v>82716.174305</v>
      </c>
    </row>
    <row r="16" customFormat="false" ht="14.25" hidden="false" customHeight="true" outlineLevel="0" collapsed="false">
      <c r="A16" s="1" t="n">
        <v>15</v>
      </c>
      <c r="B16" s="1" t="s">
        <v>233</v>
      </c>
      <c r="C16" s="56" t="n">
        <v>46495</v>
      </c>
      <c r="D16" s="1" t="s">
        <v>154</v>
      </c>
      <c r="E16" s="57" t="n">
        <v>500</v>
      </c>
      <c r="F16" s="1" t="s">
        <v>16</v>
      </c>
      <c r="G16" s="1" t="n">
        <v>1.83</v>
      </c>
      <c r="H16" s="57" t="n">
        <v>116</v>
      </c>
      <c r="I16" s="1" t="s">
        <v>135</v>
      </c>
      <c r="J16" s="1" t="n">
        <v>80</v>
      </c>
      <c r="K16" s="58" t="n">
        <v>468880</v>
      </c>
      <c r="L16" s="59" t="n">
        <f aca="false">IF(G16&lt;&gt;"",E16*G16,E16*'basic parameter'!$C$3)</f>
        <v>915</v>
      </c>
      <c r="M16" s="59" t="n">
        <f aca="false">L16-(H16*'basic parameter'!$C$12)</f>
        <v>880.2</v>
      </c>
      <c r="N16" s="60" t="n">
        <f aca="false">'basic parameter'!$C$2*'basic parameter'!$C$6</f>
        <v>37.8505305</v>
      </c>
      <c r="O16" s="58" t="n">
        <f aca="false">M16*N16</f>
        <v>33316.0369461</v>
      </c>
      <c r="P16" s="58" t="n">
        <f aca="false">IF(I16="Y",M16*J16%*'basic parameter'!$C$7*'basic parameter'!$C$9,0)</f>
        <v>7816.176</v>
      </c>
      <c r="Q16" s="58" t="n">
        <f aca="false">MAX(O16-P16,0)</f>
        <v>25499.8609461</v>
      </c>
      <c r="R16" s="1" t="str">
        <f aca="false">IF(K16&gt;='basic parameter'!$C$8,"Y","N")</f>
        <v>Y</v>
      </c>
      <c r="S16" s="58" t="n">
        <f aca="false">IF(R16="Y",'basic parameter'!$C$11,0)</f>
        <v>5000</v>
      </c>
      <c r="T16" s="58" t="n">
        <f aca="false">E16*'basic parameter'!$C$10</f>
        <v>1250</v>
      </c>
      <c r="U16" s="61" t="n">
        <f aca="false">('basic parameter'!$C$3*E16-L16)*N16+P16+S16-T16</f>
        <v>10998.4180425</v>
      </c>
    </row>
    <row r="17" customFormat="false" ht="14.25" hidden="false" customHeight="true" outlineLevel="0" collapsed="false">
      <c r="A17" s="1" t="n">
        <v>16</v>
      </c>
      <c r="B17" s="1" t="s">
        <v>234</v>
      </c>
      <c r="C17" s="56" t="n">
        <v>46425</v>
      </c>
      <c r="D17" s="1" t="s">
        <v>156</v>
      </c>
      <c r="E17" s="57" t="n">
        <v>1500</v>
      </c>
      <c r="F17" s="1" t="s">
        <v>16</v>
      </c>
      <c r="G17" s="1" t="n">
        <v>2</v>
      </c>
      <c r="H17" s="57" t="n">
        <v>52</v>
      </c>
      <c r="I17" s="1" t="s">
        <v>135</v>
      </c>
      <c r="J17" s="1" t="n">
        <v>80</v>
      </c>
      <c r="K17" s="58" t="n">
        <v>1600831</v>
      </c>
      <c r="L17" s="59" t="n">
        <f aca="false">IF(G17&lt;&gt;"",E17*G17,E17*'basic parameter'!$C$3)</f>
        <v>3000</v>
      </c>
      <c r="M17" s="59" t="n">
        <f aca="false">L17-(H17*'basic parameter'!$C$12)</f>
        <v>2984.4</v>
      </c>
      <c r="N17" s="60" t="n">
        <f aca="false">'basic parameter'!$C$2*'basic parameter'!$C$6</f>
        <v>37.8505305</v>
      </c>
      <c r="O17" s="58" t="n">
        <f aca="false">M17*N17</f>
        <v>112961.1232242</v>
      </c>
      <c r="P17" s="58" t="n">
        <f aca="false">IF(I17="Y",M17*J17%*'basic parameter'!$C$7*'basic parameter'!$C$9,0)</f>
        <v>26501.472</v>
      </c>
      <c r="Q17" s="58" t="n">
        <f aca="false">MAX(O17-P17,0)</f>
        <v>86459.6512242</v>
      </c>
      <c r="R17" s="1" t="str">
        <f aca="false">IF(K17&gt;='basic parameter'!$C$8,"Y","N")</f>
        <v>Y</v>
      </c>
      <c r="S17" s="58" t="n">
        <f aca="false">IF(R17="Y",'basic parameter'!$C$11,0)</f>
        <v>5000</v>
      </c>
      <c r="T17" s="58" t="n">
        <f aca="false">E17*'basic parameter'!$C$10</f>
        <v>3750</v>
      </c>
      <c r="U17" s="61" t="n">
        <f aca="false">('basic parameter'!$C$3*E17-L17)*N17+P17+S17-T17</f>
        <v>16396.31285</v>
      </c>
    </row>
    <row r="18" customFormat="false" ht="14.25" hidden="false" customHeight="true" outlineLevel="0" collapsed="false">
      <c r="A18" s="1" t="n">
        <v>17</v>
      </c>
      <c r="B18" s="1" t="s">
        <v>235</v>
      </c>
      <c r="C18" s="56" t="n">
        <v>46412</v>
      </c>
      <c r="D18" s="1" t="s">
        <v>224</v>
      </c>
      <c r="E18" s="57" t="n">
        <v>500</v>
      </c>
      <c r="F18" s="1" t="s">
        <v>214</v>
      </c>
      <c r="G18" s="1" t="n">
        <v>0.45</v>
      </c>
      <c r="H18" s="57" t="n">
        <v>32</v>
      </c>
      <c r="I18" s="1" t="s">
        <v>135</v>
      </c>
      <c r="J18" s="1" t="n">
        <v>80</v>
      </c>
      <c r="K18" s="58" t="n">
        <v>543548</v>
      </c>
      <c r="L18" s="59" t="n">
        <f aca="false">IF(G18&lt;&gt;"",E18*G18,E18*'basic parameter'!$C$3)</f>
        <v>225</v>
      </c>
      <c r="M18" s="59" t="n">
        <f aca="false">L18-(H18*'basic parameter'!$C$12)</f>
        <v>215.4</v>
      </c>
      <c r="N18" s="60" t="n">
        <f aca="false">'basic parameter'!$C$2*'basic parameter'!$C$6</f>
        <v>37.8505305</v>
      </c>
      <c r="O18" s="58" t="n">
        <f aca="false">M18*N18</f>
        <v>8153.0042697</v>
      </c>
      <c r="P18" s="58" t="n">
        <f aca="false">IF(I18="Y",M18*J18%*'basic parameter'!$C$7*'basic parameter'!$C$9,0)</f>
        <v>1912.752</v>
      </c>
      <c r="Q18" s="58" t="n">
        <f aca="false">MAX(O18-P18,0)</f>
        <v>6240.2522697</v>
      </c>
      <c r="R18" s="1" t="str">
        <f aca="false">IF(K18&gt;='basic parameter'!$C$8,"Y","N")</f>
        <v>Y</v>
      </c>
      <c r="S18" s="58" t="n">
        <f aca="false">IF(R18="Y",'basic parameter'!$C$11,0)</f>
        <v>5000</v>
      </c>
      <c r="T18" s="58" t="n">
        <f aca="false">E18*'basic parameter'!$C$10</f>
        <v>1250</v>
      </c>
      <c r="U18" s="61" t="n">
        <f aca="false">('basic parameter'!$C$3*E18-L18)*N18+P18+S18-T18</f>
        <v>31211.8600875</v>
      </c>
    </row>
    <row r="19" customFormat="false" ht="14.25" hidden="false" customHeight="true" outlineLevel="0" collapsed="false">
      <c r="A19" s="1" t="n">
        <v>18</v>
      </c>
      <c r="B19" s="1" t="s">
        <v>236</v>
      </c>
      <c r="C19" s="56" t="n">
        <v>46416</v>
      </c>
      <c r="D19" s="1" t="s">
        <v>142</v>
      </c>
      <c r="E19" s="57" t="n">
        <v>750</v>
      </c>
      <c r="F19" s="1" t="s">
        <v>214</v>
      </c>
      <c r="G19" s="1" t="n">
        <v>0.59</v>
      </c>
      <c r="H19" s="57" t="n">
        <v>36</v>
      </c>
      <c r="I19" s="1" t="s">
        <v>24</v>
      </c>
      <c r="J19" s="1" t="n">
        <v>0</v>
      </c>
      <c r="K19" s="58" t="n">
        <v>559580</v>
      </c>
      <c r="L19" s="59" t="n">
        <f aca="false">IF(G19&lt;&gt;"",E19*G19,E19*'basic parameter'!$C$3)</f>
        <v>442.5</v>
      </c>
      <c r="M19" s="59" t="n">
        <f aca="false">L19-(H19*'basic parameter'!$C$12)</f>
        <v>431.7</v>
      </c>
      <c r="N19" s="60" t="n">
        <f aca="false">'basic parameter'!$C$2*'basic parameter'!$C$6</f>
        <v>37.8505305</v>
      </c>
      <c r="O19" s="58" t="n">
        <f aca="false">M19*N19</f>
        <v>16340.07401685</v>
      </c>
      <c r="P19" s="58" t="n">
        <f aca="false">IF(I19="Y",M19*J19%*'basic parameter'!$C$7*'basic parameter'!$C$9,0)</f>
        <v>0</v>
      </c>
      <c r="Q19" s="58" t="n">
        <f aca="false">MAX(O19-P19,0)</f>
        <v>16340.07401685</v>
      </c>
      <c r="R19" s="1" t="str">
        <f aca="false">IF(K19&gt;='basic parameter'!$C$8,"Y","N")</f>
        <v>Y</v>
      </c>
      <c r="S19" s="58" t="n">
        <f aca="false">IF(R19="Y",'basic parameter'!$C$11,0)</f>
        <v>5000</v>
      </c>
      <c r="T19" s="58" t="n">
        <f aca="false">E19*'basic parameter'!$C$10</f>
        <v>1875</v>
      </c>
      <c r="U19" s="61" t="n">
        <f aca="false">('basic parameter'!$C$3*E19-L19)*N19+P19+S19-T19</f>
        <v>37474.35642875</v>
      </c>
    </row>
    <row r="20" customFormat="false" ht="14.25" hidden="false" customHeight="true" outlineLevel="0" collapsed="false">
      <c r="A20" s="1" t="n">
        <v>19</v>
      </c>
      <c r="B20" s="1" t="s">
        <v>237</v>
      </c>
      <c r="C20" s="56" t="n">
        <v>46415</v>
      </c>
      <c r="D20" s="1" t="s">
        <v>160</v>
      </c>
      <c r="E20" s="57" t="n">
        <v>400</v>
      </c>
      <c r="F20" s="1" t="s">
        <v>214</v>
      </c>
      <c r="G20" s="1" t="n">
        <v>0.4</v>
      </c>
      <c r="H20" s="57" t="n">
        <v>1</v>
      </c>
      <c r="I20" s="1" t="s">
        <v>135</v>
      </c>
      <c r="J20" s="1" t="n">
        <v>80</v>
      </c>
      <c r="K20" s="58" t="n">
        <v>400108</v>
      </c>
      <c r="L20" s="59" t="n">
        <f aca="false">IF(G20&lt;&gt;"",E20*G20,E20*'basic parameter'!$C$3)</f>
        <v>160</v>
      </c>
      <c r="M20" s="59" t="n">
        <f aca="false">L20-(H20*'basic parameter'!$C$12)</f>
        <v>159.7</v>
      </c>
      <c r="N20" s="60" t="n">
        <f aca="false">'basic parameter'!$C$2*'basic parameter'!$C$6</f>
        <v>37.8505305</v>
      </c>
      <c r="O20" s="58" t="n">
        <f aca="false">M20*N20</f>
        <v>6044.72972085</v>
      </c>
      <c r="P20" s="58" t="n">
        <f aca="false">IF(I20="Y",M20*J20%*'basic parameter'!$C$7*'basic parameter'!$C$9,0)</f>
        <v>1418.136</v>
      </c>
      <c r="Q20" s="58" t="n">
        <f aca="false">MAX(O20-P20,0)</f>
        <v>4626.59372085</v>
      </c>
      <c r="R20" s="1" t="str">
        <f aca="false">IF(K20&gt;='basic parameter'!$C$8,"Y","N")</f>
        <v>Y</v>
      </c>
      <c r="S20" s="58" t="n">
        <f aca="false">IF(R20="Y",'basic parameter'!$C$11,0)</f>
        <v>5000</v>
      </c>
      <c r="T20" s="58" t="n">
        <f aca="false">E20*'basic parameter'!$C$10</f>
        <v>1000</v>
      </c>
      <c r="U20" s="61" t="n">
        <f aca="false">('basic parameter'!$C$3*E20-L20)*N20+P20+S20-T20</f>
        <v>26614.43308</v>
      </c>
    </row>
    <row r="21" customFormat="false" ht="14.25" hidden="false" customHeight="true" outlineLevel="0" collapsed="false">
      <c r="A21" s="1" t="n">
        <v>20</v>
      </c>
      <c r="B21" s="1" t="s">
        <v>238</v>
      </c>
      <c r="C21" s="56" t="n">
        <v>46441</v>
      </c>
      <c r="D21" s="1" t="s">
        <v>158</v>
      </c>
      <c r="E21" s="57" t="n">
        <v>250</v>
      </c>
      <c r="F21" s="1" t="s">
        <v>16</v>
      </c>
      <c r="G21" s="1" t="n">
        <v>1.86</v>
      </c>
      <c r="H21" s="57" t="n">
        <v>41</v>
      </c>
      <c r="I21" s="1" t="s">
        <v>135</v>
      </c>
      <c r="J21" s="1" t="n">
        <v>80</v>
      </c>
      <c r="K21" s="58" t="n">
        <v>236512</v>
      </c>
      <c r="L21" s="59" t="n">
        <f aca="false">IF(G21&lt;&gt;"",E21*G21,E21*'basic parameter'!$C$3)</f>
        <v>465</v>
      </c>
      <c r="M21" s="59" t="n">
        <f aca="false">L21-(H21*'basic parameter'!$C$12)</f>
        <v>452.7</v>
      </c>
      <c r="N21" s="60" t="n">
        <f aca="false">'basic parameter'!$C$2*'basic parameter'!$C$6</f>
        <v>37.8505305</v>
      </c>
      <c r="O21" s="58" t="n">
        <f aca="false">M21*N21</f>
        <v>17134.93515735</v>
      </c>
      <c r="P21" s="58" t="n">
        <f aca="false">IF(I21="Y",M21*J21%*'basic parameter'!$C$7*'basic parameter'!$C$9,0)</f>
        <v>4019.976</v>
      </c>
      <c r="Q21" s="58" t="n">
        <f aca="false">MAX(O21-P21,0)</f>
        <v>13114.95915735</v>
      </c>
      <c r="R21" s="1" t="str">
        <f aca="false">IF(K21&gt;='basic parameter'!$C$8,"Y","N")</f>
        <v>Y</v>
      </c>
      <c r="S21" s="58" t="n">
        <f aca="false">IF(R21="Y",'basic parameter'!$C$11,0)</f>
        <v>5000</v>
      </c>
      <c r="T21" s="58" t="n">
        <f aca="false">E21*'basic parameter'!$C$10</f>
        <v>625</v>
      </c>
      <c r="U21" s="61" t="n">
        <f aca="false">('basic parameter'!$C$3*E21-L21)*N21+P21+S21-T21</f>
        <v>7827.2180425</v>
      </c>
    </row>
    <row r="22" customFormat="false" ht="14.25" hidden="false" customHeight="true" outlineLevel="0" collapsed="false">
      <c r="A22" s="1" t="n">
        <v>21</v>
      </c>
      <c r="B22" s="1" t="s">
        <v>239</v>
      </c>
      <c r="C22" s="56" t="n">
        <v>46412</v>
      </c>
      <c r="D22" s="1" t="s">
        <v>160</v>
      </c>
      <c r="E22" s="57" t="n">
        <v>1250</v>
      </c>
      <c r="F22" s="1" t="s">
        <v>214</v>
      </c>
      <c r="G22" s="1" t="n">
        <v>0.39</v>
      </c>
      <c r="H22" s="57" t="n">
        <v>166</v>
      </c>
      <c r="I22" s="1" t="s">
        <v>135</v>
      </c>
      <c r="J22" s="1" t="n">
        <v>80</v>
      </c>
      <c r="K22" s="58" t="n">
        <v>1050932</v>
      </c>
      <c r="L22" s="59" t="n">
        <f aca="false">IF(G22&lt;&gt;"",E22*G22,E22*'basic parameter'!$C$3)</f>
        <v>487.5</v>
      </c>
      <c r="M22" s="59" t="n">
        <f aca="false">L22-(H22*'basic parameter'!$C$12)</f>
        <v>437.7</v>
      </c>
      <c r="N22" s="60" t="n">
        <f aca="false">'basic parameter'!$C$2*'basic parameter'!$C$6</f>
        <v>37.8505305</v>
      </c>
      <c r="O22" s="58" t="n">
        <f aca="false">M22*N22</f>
        <v>16567.17719985</v>
      </c>
      <c r="P22" s="58" t="n">
        <f aca="false">IF(I22="Y",M22*J22%*'basic parameter'!$C$7*'basic parameter'!$C$9,0)</f>
        <v>3886.776</v>
      </c>
      <c r="Q22" s="58" t="n">
        <f aca="false">MAX(O22-P22,0)</f>
        <v>12680.40119985</v>
      </c>
      <c r="R22" s="1" t="str">
        <f aca="false">IF(K22&gt;='basic parameter'!$C$8,"Y","N")</f>
        <v>Y</v>
      </c>
      <c r="S22" s="58" t="n">
        <f aca="false">IF(R22="Y",'basic parameter'!$C$11,0)</f>
        <v>5000</v>
      </c>
      <c r="T22" s="58" t="n">
        <f aca="false">E22*'basic parameter'!$C$10</f>
        <v>3125</v>
      </c>
      <c r="U22" s="61" t="n">
        <f aca="false">('basic parameter'!$C$3*E22-L22)*N22+P22+S22-T22</f>
        <v>72473.33600625</v>
      </c>
    </row>
    <row r="23" customFormat="false" ht="14.25" hidden="false" customHeight="true" outlineLevel="0" collapsed="false">
      <c r="A23" s="1" t="n">
        <v>22</v>
      </c>
      <c r="B23" s="1" t="s">
        <v>240</v>
      </c>
      <c r="C23" s="56" t="n">
        <v>46498</v>
      </c>
      <c r="D23" s="1" t="s">
        <v>138</v>
      </c>
      <c r="E23" s="57" t="n">
        <v>1000</v>
      </c>
      <c r="F23" s="1" t="s">
        <v>16</v>
      </c>
      <c r="G23" s="1" t="n">
        <v>1.98</v>
      </c>
      <c r="H23" s="57" t="n">
        <v>214</v>
      </c>
      <c r="I23" s="1" t="s">
        <v>135</v>
      </c>
      <c r="J23" s="1" t="n">
        <v>80</v>
      </c>
      <c r="K23" s="58" t="n">
        <v>871119</v>
      </c>
      <c r="L23" s="59" t="n">
        <f aca="false">IF(G23&lt;&gt;"",E23*G23,E23*'basic parameter'!$C$3)</f>
        <v>1980</v>
      </c>
      <c r="M23" s="59" t="n">
        <f aca="false">L23-(H23*'basic parameter'!$C$12)</f>
        <v>1915.8</v>
      </c>
      <c r="N23" s="60" t="n">
        <f aca="false">'basic parameter'!$C$2*'basic parameter'!$C$6</f>
        <v>37.8505305</v>
      </c>
      <c r="O23" s="58" t="n">
        <f aca="false">M23*N23</f>
        <v>72514.0463319</v>
      </c>
      <c r="P23" s="58" t="n">
        <f aca="false">IF(I23="Y",M23*J23%*'basic parameter'!$C$7*'basic parameter'!$C$9,0)</f>
        <v>17012.304</v>
      </c>
      <c r="Q23" s="58" t="n">
        <f aca="false">MAX(O23-P23,0)</f>
        <v>55501.7423319</v>
      </c>
      <c r="R23" s="1" t="str">
        <f aca="false">IF(K23&gt;='basic parameter'!$C$8,"Y","N")</f>
        <v>Y</v>
      </c>
      <c r="S23" s="58" t="n">
        <f aca="false">IF(R23="Y",'basic parameter'!$C$11,0)</f>
        <v>5000</v>
      </c>
      <c r="T23" s="58" t="n">
        <f aca="false">E23*'basic parameter'!$C$10</f>
        <v>2500</v>
      </c>
      <c r="U23" s="61" t="n">
        <f aca="false">('basic parameter'!$C$3*E23-L23)*N23+P23+S23-T23</f>
        <v>12699.20851</v>
      </c>
    </row>
    <row r="24" customFormat="false" ht="14.25" hidden="false" customHeight="true" outlineLevel="0" collapsed="false">
      <c r="A24" s="1" t="n">
        <v>23</v>
      </c>
      <c r="B24" s="1" t="s">
        <v>241</v>
      </c>
      <c r="C24" s="56" t="n">
        <v>46413</v>
      </c>
      <c r="D24" s="1" t="s">
        <v>138</v>
      </c>
      <c r="E24" s="57" t="n">
        <v>1500</v>
      </c>
      <c r="F24" s="1" t="s">
        <v>214</v>
      </c>
      <c r="G24" s="1" t="n">
        <v>0.43</v>
      </c>
      <c r="H24" s="57" t="n">
        <v>349</v>
      </c>
      <c r="I24" s="1" t="s">
        <v>135</v>
      </c>
      <c r="J24" s="1" t="n">
        <v>80</v>
      </c>
      <c r="K24" s="58" t="n">
        <v>1389709</v>
      </c>
      <c r="L24" s="59" t="n">
        <f aca="false">IF(G24&lt;&gt;"",E24*G24,E24*'basic parameter'!$C$3)</f>
        <v>645</v>
      </c>
      <c r="M24" s="59" t="n">
        <f aca="false">L24-(H24*'basic parameter'!$C$12)</f>
        <v>540.3</v>
      </c>
      <c r="N24" s="60" t="n">
        <f aca="false">'basic parameter'!$C$2*'basic parameter'!$C$6</f>
        <v>37.8505305</v>
      </c>
      <c r="O24" s="58" t="n">
        <f aca="false">M24*N24</f>
        <v>20450.64162915</v>
      </c>
      <c r="P24" s="58" t="n">
        <f aca="false">IF(I24="Y",M24*J24%*'basic parameter'!$C$7*'basic parameter'!$C$9,0)</f>
        <v>4797.864</v>
      </c>
      <c r="Q24" s="58" t="n">
        <f aca="false">MAX(O24-P24,0)</f>
        <v>15652.77762915</v>
      </c>
      <c r="R24" s="1" t="str">
        <f aca="false">IF(K24&gt;='basic parameter'!$C$8,"Y","N")</f>
        <v>Y</v>
      </c>
      <c r="S24" s="58" t="n">
        <f aca="false">IF(R24="Y",'basic parameter'!$C$11,0)</f>
        <v>5000</v>
      </c>
      <c r="T24" s="58" t="n">
        <f aca="false">E24*'basic parameter'!$C$10</f>
        <v>3750</v>
      </c>
      <c r="U24" s="61" t="n">
        <f aca="false">('basic parameter'!$C$3*E24-L24)*N24+P24+S24-T24</f>
        <v>83830.7041775</v>
      </c>
    </row>
    <row r="25" customFormat="false" ht="14.25" hidden="false" customHeight="true" outlineLevel="0" collapsed="false">
      <c r="A25" s="1" t="n">
        <v>24</v>
      </c>
      <c r="B25" s="1" t="s">
        <v>242</v>
      </c>
      <c r="C25" s="56" t="n">
        <v>46412</v>
      </c>
      <c r="D25" s="1" t="s">
        <v>160</v>
      </c>
      <c r="E25" s="57" t="n">
        <v>500</v>
      </c>
      <c r="F25" s="1" t="s">
        <v>214</v>
      </c>
      <c r="G25" s="1" t="n">
        <v>0.39</v>
      </c>
      <c r="H25" s="57" t="n">
        <v>88</v>
      </c>
      <c r="I25" s="1" t="s">
        <v>135</v>
      </c>
      <c r="J25" s="1" t="n">
        <v>80</v>
      </c>
      <c r="K25" s="58" t="n">
        <v>366323</v>
      </c>
      <c r="L25" s="59" t="n">
        <f aca="false">IF(G25&lt;&gt;"",E25*G25,E25*'basic parameter'!$C$3)</f>
        <v>195</v>
      </c>
      <c r="M25" s="59" t="n">
        <f aca="false">L25-(H25*'basic parameter'!$C$12)</f>
        <v>168.6</v>
      </c>
      <c r="N25" s="60" t="n">
        <f aca="false">'basic parameter'!$C$2*'basic parameter'!$C$6</f>
        <v>37.8505305</v>
      </c>
      <c r="O25" s="58" t="n">
        <f aca="false">M25*N25</f>
        <v>6381.5994423</v>
      </c>
      <c r="P25" s="58" t="n">
        <f aca="false">IF(I25="Y",M25*J25%*'basic parameter'!$C$7*'basic parameter'!$C$9,0)</f>
        <v>1497.168</v>
      </c>
      <c r="Q25" s="58" t="n">
        <f aca="false">MAX(O25-P25,0)</f>
        <v>4884.4314423</v>
      </c>
      <c r="R25" s="1" t="str">
        <f aca="false">IF(K25&gt;='basic parameter'!$C$8,"Y","N")</f>
        <v>Y</v>
      </c>
      <c r="S25" s="58" t="n">
        <f aca="false">IF(R25="Y",'basic parameter'!$C$11,0)</f>
        <v>5000</v>
      </c>
      <c r="T25" s="58" t="n">
        <f aca="false">E25*'basic parameter'!$C$10</f>
        <v>1250</v>
      </c>
      <c r="U25" s="61" t="n">
        <f aca="false">('basic parameter'!$C$3*E25-L25)*N25+P25+S25-T25</f>
        <v>31931.7920025</v>
      </c>
    </row>
    <row r="26" customFormat="false" ht="14.25" hidden="false" customHeight="true" outlineLevel="0" collapsed="false">
      <c r="A26" s="1" t="n">
        <v>25</v>
      </c>
      <c r="B26" s="1" t="s">
        <v>243</v>
      </c>
      <c r="C26" s="56" t="n">
        <v>46419</v>
      </c>
      <c r="D26" s="1" t="s">
        <v>138</v>
      </c>
      <c r="E26" s="57" t="n">
        <v>2000</v>
      </c>
      <c r="F26" s="1" t="s">
        <v>16</v>
      </c>
      <c r="G26" s="1" t="n">
        <v>1.88</v>
      </c>
      <c r="H26" s="57" t="n">
        <v>64</v>
      </c>
      <c r="I26" s="1" t="s">
        <v>135</v>
      </c>
      <c r="J26" s="1" t="n">
        <v>80</v>
      </c>
      <c r="K26" s="58" t="n">
        <v>1469885</v>
      </c>
      <c r="L26" s="59" t="n">
        <f aca="false">IF(G26&lt;&gt;"",E26*G26,E26*'basic parameter'!$C$3)</f>
        <v>3760</v>
      </c>
      <c r="M26" s="59" t="n">
        <f aca="false">L26-(H26*'basic parameter'!$C$12)</f>
        <v>3740.8</v>
      </c>
      <c r="N26" s="60" t="n">
        <f aca="false">'basic parameter'!$C$2*'basic parameter'!$C$6</f>
        <v>37.8505305</v>
      </c>
      <c r="O26" s="58" t="n">
        <f aca="false">M26*N26</f>
        <v>141591.2644944</v>
      </c>
      <c r="P26" s="58" t="n">
        <f aca="false">IF(I26="Y",M26*J26%*'basic parameter'!$C$7*'basic parameter'!$C$9,0)</f>
        <v>33218.304</v>
      </c>
      <c r="Q26" s="58" t="n">
        <f aca="false">MAX(O26-P26,0)</f>
        <v>108372.9604944</v>
      </c>
      <c r="R26" s="1" t="str">
        <f aca="false">IF(K26&gt;='basic parameter'!$C$8,"Y","N")</f>
        <v>Y</v>
      </c>
      <c r="S26" s="58" t="n">
        <f aca="false">IF(R26="Y",'basic parameter'!$C$11,0)</f>
        <v>5000</v>
      </c>
      <c r="T26" s="58" t="n">
        <f aca="false">E26*'basic parameter'!$C$10</f>
        <v>5000</v>
      </c>
      <c r="U26" s="61" t="n">
        <f aca="false">('basic parameter'!$C$3*E26-L26)*N26+P26+S26-T26</f>
        <v>27162.21912</v>
      </c>
    </row>
    <row r="27" customFormat="false" ht="14.25" hidden="false" customHeight="true" outlineLevel="0" collapsed="false">
      <c r="A27" s="1" t="n">
        <v>26</v>
      </c>
      <c r="B27" s="1" t="s">
        <v>244</v>
      </c>
      <c r="C27" s="56" t="n">
        <v>46406</v>
      </c>
      <c r="D27" s="1" t="s">
        <v>146</v>
      </c>
      <c r="E27" s="57" t="n">
        <v>150</v>
      </c>
      <c r="F27" s="1" t="s">
        <v>16</v>
      </c>
      <c r="G27" s="1" t="n">
        <v>1.86</v>
      </c>
      <c r="H27" s="57" t="n">
        <v>32</v>
      </c>
      <c r="I27" s="1" t="s">
        <v>24</v>
      </c>
      <c r="J27" s="1" t="n">
        <v>0</v>
      </c>
      <c r="K27" s="58" t="n">
        <v>135645</v>
      </c>
      <c r="L27" s="59" t="n">
        <f aca="false">IF(G27&lt;&gt;"",E27*G27,E27*'basic parameter'!$C$3)</f>
        <v>279</v>
      </c>
      <c r="M27" s="59" t="n">
        <f aca="false">L27-(H27*'basic parameter'!$C$12)</f>
        <v>269.4</v>
      </c>
      <c r="N27" s="60" t="n">
        <f aca="false">'basic parameter'!$C$2*'basic parameter'!$C$6</f>
        <v>37.8505305</v>
      </c>
      <c r="O27" s="58" t="n">
        <f aca="false">M27*N27</f>
        <v>10196.9329167</v>
      </c>
      <c r="P27" s="58" t="n">
        <f aca="false">IF(I27="Y",M27*J27%*'basic parameter'!$C$7*'basic parameter'!$C$9,0)</f>
        <v>0</v>
      </c>
      <c r="Q27" s="58" t="n">
        <f aca="false">MAX(O27-P27,0)</f>
        <v>10196.9329167</v>
      </c>
      <c r="R27" s="1" t="str">
        <f aca="false">IF(K27&gt;='basic parameter'!$C$8,"Y","N")</f>
        <v>Y</v>
      </c>
      <c r="S27" s="58" t="n">
        <f aca="false">IF(R27="Y",'basic parameter'!$C$11,0)</f>
        <v>5000</v>
      </c>
      <c r="T27" s="58" t="n">
        <f aca="false">E27*'basic parameter'!$C$10</f>
        <v>375</v>
      </c>
      <c r="U27" s="61" t="n">
        <f aca="false">('basic parameter'!$C$3*E27-L27)*N27+P27+S27-T27</f>
        <v>4284.3452255</v>
      </c>
    </row>
    <row r="28" customFormat="false" ht="14.25" hidden="false" customHeight="true" outlineLevel="0" collapsed="false">
      <c r="A28" s="1" t="n">
        <v>27</v>
      </c>
      <c r="B28" s="1" t="s">
        <v>245</v>
      </c>
      <c r="C28" s="56" t="n">
        <v>46471</v>
      </c>
      <c r="D28" s="1" t="s">
        <v>160</v>
      </c>
      <c r="E28" s="57" t="n">
        <v>250</v>
      </c>
      <c r="F28" s="1" t="s">
        <v>16</v>
      </c>
      <c r="G28" s="1" t="n">
        <v>1.88</v>
      </c>
      <c r="H28" s="57" t="n">
        <v>13</v>
      </c>
      <c r="I28" s="1" t="s">
        <v>135</v>
      </c>
      <c r="J28" s="1" t="n">
        <v>80</v>
      </c>
      <c r="K28" s="58" t="n">
        <v>280397</v>
      </c>
      <c r="L28" s="59" t="n">
        <f aca="false">IF(G28&lt;&gt;"",E28*G28,E28*'basic parameter'!$C$3)</f>
        <v>470</v>
      </c>
      <c r="M28" s="59" t="n">
        <f aca="false">L28-(H28*'basic parameter'!$C$12)</f>
        <v>466.1</v>
      </c>
      <c r="N28" s="60" t="n">
        <f aca="false">'basic parameter'!$C$2*'basic parameter'!$C$6</f>
        <v>37.8505305</v>
      </c>
      <c r="O28" s="58" t="n">
        <f aca="false">M28*N28</f>
        <v>17642.13226605</v>
      </c>
      <c r="P28" s="58" t="n">
        <f aca="false">IF(I28="Y",M28*J28%*'basic parameter'!$C$7*'basic parameter'!$C$9,0)</f>
        <v>4138.968</v>
      </c>
      <c r="Q28" s="58" t="n">
        <f aca="false">MAX(O28-P28,0)</f>
        <v>13503.16426605</v>
      </c>
      <c r="R28" s="1" t="str">
        <f aca="false">IF(K28&gt;='basic parameter'!$C$8,"Y","N")</f>
        <v>Y</v>
      </c>
      <c r="S28" s="58" t="n">
        <f aca="false">IF(R28="Y",'basic parameter'!$C$11,0)</f>
        <v>5000</v>
      </c>
      <c r="T28" s="58" t="n">
        <f aca="false">E28*'basic parameter'!$C$10</f>
        <v>625</v>
      </c>
      <c r="U28" s="61" t="n">
        <f aca="false">('basic parameter'!$C$3*E28-L28)*N28+P28+S28-T28</f>
        <v>7756.95739</v>
      </c>
    </row>
    <row r="29" customFormat="false" ht="14.25" hidden="false" customHeight="true" outlineLevel="0" collapsed="false">
      <c r="A29" s="1" t="n">
        <v>28</v>
      </c>
      <c r="B29" s="1" t="s">
        <v>246</v>
      </c>
      <c r="C29" s="56" t="n">
        <v>46390</v>
      </c>
      <c r="D29" s="1" t="s">
        <v>158</v>
      </c>
      <c r="E29" s="57" t="n">
        <v>500</v>
      </c>
      <c r="F29" s="1" t="s">
        <v>214</v>
      </c>
      <c r="G29" s="1" t="n">
        <v>0.43</v>
      </c>
      <c r="H29" s="57" t="n">
        <v>71</v>
      </c>
      <c r="I29" s="1" t="s">
        <v>135</v>
      </c>
      <c r="J29" s="1" t="n">
        <v>80</v>
      </c>
      <c r="K29" s="58" t="n">
        <v>453751</v>
      </c>
      <c r="L29" s="59" t="n">
        <f aca="false">IF(G29&lt;&gt;"",E29*G29,E29*'basic parameter'!$C$3)</f>
        <v>215</v>
      </c>
      <c r="M29" s="59" t="n">
        <f aca="false">L29-(H29*'basic parameter'!$C$12)</f>
        <v>193.7</v>
      </c>
      <c r="N29" s="60" t="n">
        <f aca="false">'basic parameter'!$C$2*'basic parameter'!$C$6</f>
        <v>37.8505305</v>
      </c>
      <c r="O29" s="58" t="n">
        <f aca="false">M29*N29</f>
        <v>7331.64775785</v>
      </c>
      <c r="P29" s="58" t="n">
        <f aca="false">IF(I29="Y",M29*J29%*'basic parameter'!$C$7*'basic parameter'!$C$9,0)</f>
        <v>1720.056</v>
      </c>
      <c r="Q29" s="58" t="n">
        <f aca="false">MAX(O29-P29,0)</f>
        <v>5611.59175785</v>
      </c>
      <c r="R29" s="1" t="str">
        <f aca="false">IF(K29&gt;='basic parameter'!$C$8,"Y","N")</f>
        <v>Y</v>
      </c>
      <c r="S29" s="58" t="n">
        <f aca="false">IF(R29="Y",'basic parameter'!$C$11,0)</f>
        <v>5000</v>
      </c>
      <c r="T29" s="58" t="n">
        <f aca="false">E29*'basic parameter'!$C$10</f>
        <v>1250</v>
      </c>
      <c r="U29" s="61" t="n">
        <f aca="false">('basic parameter'!$C$3*E29-L29)*N29+P29+S29-T29</f>
        <v>31397.6693925</v>
      </c>
    </row>
    <row r="30" customFormat="false" ht="14.25" hidden="false" customHeight="true" outlineLevel="0" collapsed="false">
      <c r="A30" s="1" t="n">
        <v>29</v>
      </c>
      <c r="B30" s="1" t="s">
        <v>247</v>
      </c>
      <c r="C30" s="56" t="n">
        <v>46394</v>
      </c>
      <c r="D30" s="1" t="s">
        <v>224</v>
      </c>
      <c r="E30" s="57" t="n">
        <v>750</v>
      </c>
      <c r="F30" s="1" t="s">
        <v>16</v>
      </c>
      <c r="G30" s="1" t="n">
        <v>1.92</v>
      </c>
      <c r="H30" s="57" t="n">
        <v>84</v>
      </c>
      <c r="I30" s="1" t="s">
        <v>135</v>
      </c>
      <c r="J30" s="1" t="n">
        <v>80</v>
      </c>
      <c r="K30" s="58" t="n">
        <v>830803</v>
      </c>
      <c r="L30" s="59" t="n">
        <f aca="false">IF(G30&lt;&gt;"",E30*G30,E30*'basic parameter'!$C$3)</f>
        <v>1440</v>
      </c>
      <c r="M30" s="59" t="n">
        <f aca="false">L30-(H30*'basic parameter'!$C$12)</f>
        <v>1414.8</v>
      </c>
      <c r="N30" s="60" t="n">
        <f aca="false">'basic parameter'!$C$2*'basic parameter'!$C$6</f>
        <v>37.8505305</v>
      </c>
      <c r="O30" s="58" t="n">
        <f aca="false">M30*N30</f>
        <v>53550.9305514</v>
      </c>
      <c r="P30" s="58" t="n">
        <f aca="false">IF(I30="Y",M30*J30%*'basic parameter'!$C$7*'basic parameter'!$C$9,0)</f>
        <v>12563.424</v>
      </c>
      <c r="Q30" s="58" t="n">
        <f aca="false">MAX(O30-P30,0)</f>
        <v>40987.5065514</v>
      </c>
      <c r="R30" s="1" t="str">
        <f aca="false">IF(K30&gt;='basic parameter'!$C$8,"Y","N")</f>
        <v>Y</v>
      </c>
      <c r="S30" s="58" t="n">
        <f aca="false">IF(R30="Y",'basic parameter'!$C$11,0)</f>
        <v>5000</v>
      </c>
      <c r="T30" s="58" t="n">
        <f aca="false">E30*'basic parameter'!$C$10</f>
        <v>1875</v>
      </c>
      <c r="U30" s="61" t="n">
        <f aca="false">('basic parameter'!$C$3*E30-L30)*N30+P30+S30-T30</f>
        <v>12281.876255</v>
      </c>
    </row>
    <row r="31" customFormat="false" ht="14.25" hidden="false" customHeight="true" outlineLevel="0" collapsed="false">
      <c r="A31" s="1" t="n">
        <v>30</v>
      </c>
      <c r="B31" s="1" t="s">
        <v>248</v>
      </c>
      <c r="C31" s="56" t="n">
        <v>46420</v>
      </c>
      <c r="D31" s="1" t="s">
        <v>154</v>
      </c>
      <c r="E31" s="57" t="n">
        <v>2500</v>
      </c>
      <c r="F31" s="1" t="s">
        <v>16</v>
      </c>
      <c r="G31" s="1" t="n">
        <v>1.77</v>
      </c>
      <c r="H31" s="57" t="n">
        <v>364</v>
      </c>
      <c r="I31" s="1" t="s">
        <v>135</v>
      </c>
      <c r="J31" s="1" t="n">
        <v>80</v>
      </c>
      <c r="K31" s="58" t="n">
        <v>2047306</v>
      </c>
      <c r="L31" s="59" t="n">
        <f aca="false">IF(G31&lt;&gt;"",E31*G31,E31*'basic parameter'!$C$3)</f>
        <v>4425</v>
      </c>
      <c r="M31" s="59" t="n">
        <f aca="false">L31-(H31*'basic parameter'!$C$12)</f>
        <v>4315.8</v>
      </c>
      <c r="N31" s="60" t="n">
        <f aca="false">'basic parameter'!$C$2*'basic parameter'!$C$6</f>
        <v>37.8505305</v>
      </c>
      <c r="O31" s="58" t="n">
        <f aca="false">M31*N31</f>
        <v>163355.3195319</v>
      </c>
      <c r="P31" s="58" t="n">
        <f aca="false">IF(I31="Y",M31*J31%*'basic parameter'!$C$7*'basic parameter'!$C$9,0)</f>
        <v>38324.304</v>
      </c>
      <c r="Q31" s="58" t="n">
        <f aca="false">MAX(O31-P31,0)</f>
        <v>125031.0155319</v>
      </c>
      <c r="R31" s="1" t="str">
        <f aca="false">IF(K31&gt;='basic parameter'!$C$8,"Y","N")</f>
        <v>Y</v>
      </c>
      <c r="S31" s="58" t="n">
        <f aca="false">IF(R31="Y",'basic parameter'!$C$11,0)</f>
        <v>5000</v>
      </c>
      <c r="T31" s="58" t="n">
        <f aca="false">E31*'basic parameter'!$C$10</f>
        <v>6250</v>
      </c>
      <c r="U31" s="61" t="n">
        <f aca="false">('basic parameter'!$C$3*E31-L31)*N31+P31+S31-T31</f>
        <v>39913.0937875</v>
      </c>
    </row>
    <row r="32" customFormat="false" ht="14.25" hidden="false" customHeight="true" outlineLevel="0" collapsed="false">
      <c r="A32" s="1" t="n">
        <v>31</v>
      </c>
      <c r="B32" s="1" t="s">
        <v>249</v>
      </c>
      <c r="C32" s="56" t="n">
        <v>46425</v>
      </c>
      <c r="D32" s="1" t="s">
        <v>138</v>
      </c>
      <c r="E32" s="57" t="n">
        <v>750</v>
      </c>
      <c r="F32" s="1" t="s">
        <v>214</v>
      </c>
      <c r="G32" s="1" t="n">
        <v>0.47</v>
      </c>
      <c r="H32" s="57" t="n">
        <v>50</v>
      </c>
      <c r="I32" s="1" t="s">
        <v>135</v>
      </c>
      <c r="J32" s="1" t="n">
        <v>80</v>
      </c>
      <c r="K32" s="58" t="n">
        <v>744689</v>
      </c>
      <c r="L32" s="59" t="n">
        <f aca="false">IF(G32&lt;&gt;"",E32*G32,E32*'basic parameter'!$C$3)</f>
        <v>352.5</v>
      </c>
      <c r="M32" s="59" t="n">
        <f aca="false">L32-(H32*'basic parameter'!$C$12)</f>
        <v>337.5</v>
      </c>
      <c r="N32" s="60" t="n">
        <f aca="false">'basic parameter'!$C$2*'basic parameter'!$C$6</f>
        <v>37.8505305</v>
      </c>
      <c r="O32" s="58" t="n">
        <f aca="false">M32*N32</f>
        <v>12774.55404375</v>
      </c>
      <c r="P32" s="58" t="n">
        <f aca="false">IF(I32="Y",M32*J32%*'basic parameter'!$C$7*'basic parameter'!$C$9,0)</f>
        <v>2997</v>
      </c>
      <c r="Q32" s="58" t="n">
        <f aca="false">MAX(O32-P32,0)</f>
        <v>9777.55404375</v>
      </c>
      <c r="R32" s="1" t="str">
        <f aca="false">IF(K32&gt;='basic parameter'!$C$8,"Y","N")</f>
        <v>Y</v>
      </c>
      <c r="S32" s="58" t="n">
        <f aca="false">IF(R32="Y",'basic parameter'!$C$11,0)</f>
        <v>5000</v>
      </c>
      <c r="T32" s="58" t="n">
        <f aca="false">E32*'basic parameter'!$C$10</f>
        <v>1875</v>
      </c>
      <c r="U32" s="61" t="n">
        <f aca="false">('basic parameter'!$C$3*E32-L32)*N32+P32+S32-T32</f>
        <v>43877.90417375</v>
      </c>
    </row>
    <row r="33" customFormat="false" ht="14.25" hidden="false" customHeight="true" outlineLevel="0" collapsed="false">
      <c r="A33" s="1" t="n">
        <v>32</v>
      </c>
      <c r="B33" s="1" t="s">
        <v>250</v>
      </c>
      <c r="C33" s="56" t="n">
        <v>46503</v>
      </c>
      <c r="D33" s="1" t="s">
        <v>138</v>
      </c>
      <c r="E33" s="57" t="n">
        <v>3000</v>
      </c>
      <c r="F33" s="1" t="s">
        <v>214</v>
      </c>
      <c r="G33" s="1" t="n">
        <v>0.46</v>
      </c>
      <c r="H33" s="57" t="n">
        <v>672</v>
      </c>
      <c r="I33" s="1" t="s">
        <v>135</v>
      </c>
      <c r="J33" s="1" t="n">
        <v>80</v>
      </c>
      <c r="K33" s="58" t="n">
        <v>2177828</v>
      </c>
      <c r="L33" s="59" t="n">
        <f aca="false">IF(G33&lt;&gt;"",E33*G33,E33*'basic parameter'!$C$3)</f>
        <v>1380</v>
      </c>
      <c r="M33" s="59" t="n">
        <f aca="false">L33-(H33*'basic parameter'!$C$12)</f>
        <v>1178.4</v>
      </c>
      <c r="N33" s="60" t="n">
        <f aca="false">'basic parameter'!$C$2*'basic parameter'!$C$6</f>
        <v>37.8505305</v>
      </c>
      <c r="O33" s="58" t="n">
        <f aca="false">M33*N33</f>
        <v>44603.0651412</v>
      </c>
      <c r="P33" s="58" t="n">
        <f aca="false">IF(I33="Y",M33*J33%*'basic parameter'!$C$7*'basic parameter'!$C$9,0)</f>
        <v>10464.192</v>
      </c>
      <c r="Q33" s="58" t="n">
        <f aca="false">MAX(O33-P33,0)</f>
        <v>34138.8731412</v>
      </c>
      <c r="R33" s="1" t="str">
        <f aca="false">IF(K33&gt;='basic parameter'!$C$8,"Y","N")</f>
        <v>Y</v>
      </c>
      <c r="S33" s="58" t="n">
        <f aca="false">IF(R33="Y",'basic parameter'!$C$11,0)</f>
        <v>5000</v>
      </c>
      <c r="T33" s="58" t="n">
        <f aca="false">E33*'basic parameter'!$C$10</f>
        <v>7500</v>
      </c>
      <c r="U33" s="61" t="n">
        <f aca="false">('basic parameter'!$C$3*E33-L33)*N33+P33+S33-T33</f>
        <v>160123.32461</v>
      </c>
    </row>
    <row r="34" customFormat="false" ht="14.25" hidden="false" customHeight="true" outlineLevel="0" collapsed="false">
      <c r="A34" s="1" t="n">
        <v>33</v>
      </c>
      <c r="B34" s="1" t="s">
        <v>251</v>
      </c>
      <c r="C34" s="56" t="n">
        <v>46490</v>
      </c>
      <c r="D34" s="1" t="s">
        <v>224</v>
      </c>
      <c r="E34" s="57" t="n">
        <v>2000</v>
      </c>
      <c r="F34" s="1" t="s">
        <v>16</v>
      </c>
      <c r="G34" s="1" t="n">
        <v>1.91</v>
      </c>
      <c r="H34" s="57" t="n">
        <v>416</v>
      </c>
      <c r="I34" s="1" t="s">
        <v>135</v>
      </c>
      <c r="J34" s="1" t="n">
        <v>80</v>
      </c>
      <c r="K34" s="58" t="n">
        <v>1485754</v>
      </c>
      <c r="L34" s="59" t="n">
        <f aca="false">IF(G34&lt;&gt;"",E34*G34,E34*'basic parameter'!$C$3)</f>
        <v>3820</v>
      </c>
      <c r="M34" s="59" t="n">
        <f aca="false">L34-(H34*'basic parameter'!$C$12)</f>
        <v>3695.2</v>
      </c>
      <c r="N34" s="60" t="n">
        <f aca="false">'basic parameter'!$C$2*'basic parameter'!$C$6</f>
        <v>37.8505305</v>
      </c>
      <c r="O34" s="58" t="n">
        <f aca="false">M34*N34</f>
        <v>139865.2803036</v>
      </c>
      <c r="P34" s="58" t="n">
        <f aca="false">IF(I34="Y",M34*J34%*'basic parameter'!$C$7*'basic parameter'!$C$9,0)</f>
        <v>32813.376</v>
      </c>
      <c r="Q34" s="58" t="n">
        <f aca="false">MAX(O34-P34,0)</f>
        <v>107051.9043036</v>
      </c>
      <c r="R34" s="1" t="str">
        <f aca="false">IF(K34&gt;='basic parameter'!$C$8,"Y","N")</f>
        <v>Y</v>
      </c>
      <c r="S34" s="58" t="n">
        <f aca="false">IF(R34="Y",'basic parameter'!$C$11,0)</f>
        <v>5000</v>
      </c>
      <c r="T34" s="58" t="n">
        <f aca="false">E34*'basic parameter'!$C$10</f>
        <v>5000</v>
      </c>
      <c r="U34" s="61" t="n">
        <f aca="false">('basic parameter'!$C$3*E34-L34)*N34+P34+S34-T34</f>
        <v>24486.25929</v>
      </c>
    </row>
    <row r="35" customFormat="false" ht="14.25" hidden="false" customHeight="true" outlineLevel="0" collapsed="false">
      <c r="A35" s="1" t="n">
        <v>34</v>
      </c>
      <c r="B35" s="1" t="s">
        <v>252</v>
      </c>
      <c r="C35" s="56" t="n">
        <v>46429</v>
      </c>
      <c r="D35" s="1" t="s">
        <v>144</v>
      </c>
      <c r="E35" s="57" t="n">
        <v>1500</v>
      </c>
      <c r="F35" s="1" t="s">
        <v>214</v>
      </c>
      <c r="G35" s="1" t="n">
        <v>0.63</v>
      </c>
      <c r="H35" s="57" t="n">
        <v>137</v>
      </c>
      <c r="I35" s="1" t="s">
        <v>135</v>
      </c>
      <c r="J35" s="1" t="n">
        <v>70</v>
      </c>
      <c r="K35" s="58" t="n">
        <v>1453773</v>
      </c>
      <c r="L35" s="59" t="n">
        <f aca="false">IF(G35&lt;&gt;"",E35*G35,E35*'basic parameter'!$C$3)</f>
        <v>945</v>
      </c>
      <c r="M35" s="59" t="n">
        <f aca="false">L35-(H35*'basic parameter'!$C$12)</f>
        <v>903.9</v>
      </c>
      <c r="N35" s="60" t="n">
        <f aca="false">'basic parameter'!$C$2*'basic parameter'!$C$6</f>
        <v>37.8505305</v>
      </c>
      <c r="O35" s="58" t="n">
        <f aca="false">M35*N35</f>
        <v>34213.09451895</v>
      </c>
      <c r="P35" s="58" t="n">
        <f aca="false">IF(I35="Y",M35*J35%*'basic parameter'!$C$7*'basic parameter'!$C$9,0)</f>
        <v>7023.303</v>
      </c>
      <c r="Q35" s="58" t="n">
        <f aca="false">MAX(O35-P35,0)</f>
        <v>27189.79151895</v>
      </c>
      <c r="R35" s="1" t="str">
        <f aca="false">IF(K35&gt;='basic parameter'!$C$8,"Y","N")</f>
        <v>Y</v>
      </c>
      <c r="S35" s="58" t="n">
        <f aca="false">IF(R35="Y",'basic parameter'!$C$11,0)</f>
        <v>5000</v>
      </c>
      <c r="T35" s="58" t="n">
        <f aca="false">E35*'basic parameter'!$C$10</f>
        <v>3750</v>
      </c>
      <c r="U35" s="61" t="n">
        <f aca="false">('basic parameter'!$C$3*E35-L35)*N35+P35+S35-T35</f>
        <v>74700.9840275</v>
      </c>
    </row>
    <row r="36" customFormat="false" ht="14.25" hidden="false" customHeight="true" outlineLevel="0" collapsed="false">
      <c r="A36" s="1" t="n">
        <v>35</v>
      </c>
      <c r="B36" s="1" t="s">
        <v>253</v>
      </c>
      <c r="C36" s="56" t="n">
        <v>46396</v>
      </c>
      <c r="D36" s="1" t="s">
        <v>156</v>
      </c>
      <c r="E36" s="57" t="n">
        <v>3000</v>
      </c>
      <c r="F36" s="1" t="s">
        <v>214</v>
      </c>
      <c r="G36" s="1" t="n">
        <v>0.41</v>
      </c>
      <c r="H36" s="57" t="n">
        <v>539</v>
      </c>
      <c r="I36" s="1" t="s">
        <v>135</v>
      </c>
      <c r="J36" s="1" t="n">
        <v>80</v>
      </c>
      <c r="K36" s="58" t="n">
        <v>2596151</v>
      </c>
      <c r="L36" s="59" t="n">
        <f aca="false">IF(G36&lt;&gt;"",E36*G36,E36*'basic parameter'!$C$3)</f>
        <v>1230</v>
      </c>
      <c r="M36" s="59" t="n">
        <f aca="false">L36-(H36*'basic parameter'!$C$12)</f>
        <v>1068.3</v>
      </c>
      <c r="N36" s="60" t="n">
        <f aca="false">'basic parameter'!$C$2*'basic parameter'!$C$6</f>
        <v>37.8505305</v>
      </c>
      <c r="O36" s="58" t="n">
        <f aca="false">M36*N36</f>
        <v>40435.72173315</v>
      </c>
      <c r="P36" s="58" t="n">
        <f aca="false">IF(I36="Y",M36*J36%*'basic parameter'!$C$7*'basic parameter'!$C$9,0)</f>
        <v>9486.504</v>
      </c>
      <c r="Q36" s="58" t="n">
        <f aca="false">MAX(O36-P36,0)</f>
        <v>30949.21773315</v>
      </c>
      <c r="R36" s="1" t="str">
        <f aca="false">IF(K36&gt;='basic parameter'!$C$8,"Y","N")</f>
        <v>Y</v>
      </c>
      <c r="S36" s="58" t="n">
        <f aca="false">IF(R36="Y",'basic parameter'!$C$11,0)</f>
        <v>5000</v>
      </c>
      <c r="T36" s="58" t="n">
        <f aca="false">E36*'basic parameter'!$C$10</f>
        <v>7500</v>
      </c>
      <c r="U36" s="61" t="n">
        <f aca="false">('basic parameter'!$C$3*E36-L36)*N36+P36+S36-T36</f>
        <v>164823.216185</v>
      </c>
    </row>
    <row r="37" customFormat="false" ht="14.25" hidden="false" customHeight="true" outlineLevel="0" collapsed="false">
      <c r="A37" s="1" t="n">
        <v>36</v>
      </c>
      <c r="B37" s="1" t="s">
        <v>254</v>
      </c>
      <c r="C37" s="56" t="n">
        <v>46440</v>
      </c>
      <c r="D37" s="1" t="s">
        <v>158</v>
      </c>
      <c r="E37" s="57" t="n">
        <v>150</v>
      </c>
      <c r="F37" s="1" t="s">
        <v>214</v>
      </c>
      <c r="G37" s="1" t="n">
        <v>0.47</v>
      </c>
      <c r="H37" s="57" t="n">
        <v>12</v>
      </c>
      <c r="I37" s="1" t="s">
        <v>135</v>
      </c>
      <c r="J37" s="1" t="n">
        <v>80</v>
      </c>
      <c r="K37" s="58" t="n">
        <v>154275</v>
      </c>
      <c r="L37" s="59" t="n">
        <f aca="false">IF(G37&lt;&gt;"",E37*G37,E37*'basic parameter'!$C$3)</f>
        <v>70.5</v>
      </c>
      <c r="M37" s="59" t="n">
        <f aca="false">L37-(H37*'basic parameter'!$C$12)</f>
        <v>66.9</v>
      </c>
      <c r="N37" s="60" t="n">
        <f aca="false">'basic parameter'!$C$2*'basic parameter'!$C$6</f>
        <v>37.8505305</v>
      </c>
      <c r="O37" s="58" t="n">
        <f aca="false">M37*N37</f>
        <v>2532.20049045</v>
      </c>
      <c r="P37" s="58" t="n">
        <f aca="false">IF(I37="Y",M37*J37%*'basic parameter'!$C$7*'basic parameter'!$C$9,0)</f>
        <v>594.072</v>
      </c>
      <c r="Q37" s="58" t="n">
        <f aca="false">MAX(O37-P37,0)</f>
        <v>1938.12849045</v>
      </c>
      <c r="R37" s="1" t="str">
        <f aca="false">IF(K37&gt;='basic parameter'!$C$8,"Y","N")</f>
        <v>Y</v>
      </c>
      <c r="S37" s="58" t="n">
        <f aca="false">IF(R37="Y",'basic parameter'!$C$11,0)</f>
        <v>5000</v>
      </c>
      <c r="T37" s="58" t="n">
        <f aca="false">E37*'basic parameter'!$C$10</f>
        <v>375</v>
      </c>
      <c r="U37" s="61" t="n">
        <f aca="false">('basic parameter'!$C$3*E37-L37)*N37+P37+S37-T37</f>
        <v>12770.25283475</v>
      </c>
    </row>
    <row r="38" customFormat="false" ht="14.25" hidden="false" customHeight="true" outlineLevel="0" collapsed="false">
      <c r="A38" s="1" t="n">
        <v>37</v>
      </c>
      <c r="B38" s="1" t="s">
        <v>255</v>
      </c>
      <c r="C38" s="56" t="n">
        <v>46423</v>
      </c>
      <c r="D38" s="1" t="s">
        <v>144</v>
      </c>
      <c r="E38" s="57" t="n">
        <v>3000</v>
      </c>
      <c r="F38" s="1" t="s">
        <v>214</v>
      </c>
      <c r="G38" s="1" t="n">
        <v>0.66</v>
      </c>
      <c r="H38" s="57" t="n">
        <v>309</v>
      </c>
      <c r="I38" s="1" t="s">
        <v>135</v>
      </c>
      <c r="J38" s="1" t="n">
        <v>70</v>
      </c>
      <c r="K38" s="58" t="n">
        <v>2756619</v>
      </c>
      <c r="L38" s="59" t="n">
        <f aca="false">IF(G38&lt;&gt;"",E38*G38,E38*'basic parameter'!$C$3)</f>
        <v>1980</v>
      </c>
      <c r="M38" s="59" t="n">
        <f aca="false">L38-(H38*'basic parameter'!$C$12)</f>
        <v>1887.3</v>
      </c>
      <c r="N38" s="60" t="n">
        <f aca="false">'basic parameter'!$C$2*'basic parameter'!$C$6</f>
        <v>37.8505305</v>
      </c>
      <c r="O38" s="58" t="n">
        <f aca="false">M38*N38</f>
        <v>71435.30621265</v>
      </c>
      <c r="P38" s="58" t="n">
        <f aca="false">IF(I38="Y",M38*J38%*'basic parameter'!$C$7*'basic parameter'!$C$9,0)</f>
        <v>14664.321</v>
      </c>
      <c r="Q38" s="58" t="n">
        <f aca="false">MAX(O38-P38,0)</f>
        <v>56770.98521265</v>
      </c>
      <c r="R38" s="1" t="str">
        <f aca="false">IF(K38&gt;='basic parameter'!$C$8,"Y","N")</f>
        <v>Y</v>
      </c>
      <c r="S38" s="58" t="n">
        <f aca="false">IF(R38="Y",'basic parameter'!$C$11,0)</f>
        <v>5000</v>
      </c>
      <c r="T38" s="58" t="n">
        <f aca="false">E38*'basic parameter'!$C$10</f>
        <v>7500</v>
      </c>
      <c r="U38" s="61" t="n">
        <f aca="false">('basic parameter'!$C$3*E38-L38)*N38+P38+S38-T38</f>
        <v>141613.13531</v>
      </c>
    </row>
    <row r="39" customFormat="false" ht="14.25" hidden="false" customHeight="true" outlineLevel="0" collapsed="false">
      <c r="A39" s="1" t="n">
        <v>38</v>
      </c>
      <c r="B39" s="1" t="s">
        <v>256</v>
      </c>
      <c r="C39" s="56" t="n">
        <v>46444</v>
      </c>
      <c r="D39" s="1" t="s">
        <v>156</v>
      </c>
      <c r="E39" s="57" t="n">
        <v>250</v>
      </c>
      <c r="F39" s="1" t="s">
        <v>214</v>
      </c>
      <c r="G39" s="1" t="n">
        <v>0.38</v>
      </c>
      <c r="H39" s="57" t="n">
        <v>2</v>
      </c>
      <c r="I39" s="1" t="s">
        <v>135</v>
      </c>
      <c r="J39" s="1" t="n">
        <v>80</v>
      </c>
      <c r="K39" s="58" t="n">
        <v>277495</v>
      </c>
      <c r="L39" s="59" t="n">
        <f aca="false">IF(G39&lt;&gt;"",E39*G39,E39*'basic parameter'!$C$3)</f>
        <v>95</v>
      </c>
      <c r="M39" s="59" t="n">
        <f aca="false">L39-(H39*'basic parameter'!$C$12)</f>
        <v>94.4</v>
      </c>
      <c r="N39" s="60" t="n">
        <f aca="false">'basic parameter'!$C$2*'basic parameter'!$C$6</f>
        <v>37.8505305</v>
      </c>
      <c r="O39" s="58" t="n">
        <f aca="false">M39*N39</f>
        <v>3573.0900792</v>
      </c>
      <c r="P39" s="58" t="n">
        <f aca="false">IF(I39="Y",M39*J39%*'basic parameter'!$C$7*'basic parameter'!$C$9,0)</f>
        <v>838.272</v>
      </c>
      <c r="Q39" s="58" t="n">
        <f aca="false">MAX(O39-P39,0)</f>
        <v>2734.8180792</v>
      </c>
      <c r="R39" s="1" t="str">
        <f aca="false">IF(K39&gt;='basic parameter'!$C$8,"Y","N")</f>
        <v>Y</v>
      </c>
      <c r="S39" s="58" t="n">
        <f aca="false">IF(R39="Y",'basic parameter'!$C$11,0)</f>
        <v>5000</v>
      </c>
      <c r="T39" s="58" t="n">
        <f aca="false">E39*'basic parameter'!$C$10</f>
        <v>625</v>
      </c>
      <c r="U39" s="61" t="n">
        <f aca="false">('basic parameter'!$C$3*E39-L39)*N39+P39+S39-T39</f>
        <v>18650.2103275</v>
      </c>
    </row>
    <row r="40" customFormat="false" ht="14.25" hidden="false" customHeight="true" outlineLevel="0" collapsed="false">
      <c r="A40" s="1" t="n">
        <v>39</v>
      </c>
      <c r="B40" s="1" t="s">
        <v>257</v>
      </c>
      <c r="C40" s="56" t="n">
        <v>46389</v>
      </c>
      <c r="D40" s="1" t="s">
        <v>148</v>
      </c>
      <c r="E40" s="57" t="n">
        <v>1500</v>
      </c>
      <c r="F40" s="1" t="s">
        <v>214</v>
      </c>
      <c r="G40" s="1" t="n">
        <v>1.4</v>
      </c>
      <c r="H40" s="57" t="n">
        <v>285</v>
      </c>
      <c r="I40" s="1" t="s">
        <v>24</v>
      </c>
      <c r="J40" s="1" t="n">
        <v>0</v>
      </c>
      <c r="K40" s="58" t="n">
        <v>1700616</v>
      </c>
      <c r="L40" s="59" t="n">
        <f aca="false">IF(G40&lt;&gt;"",E40*G40,E40*'basic parameter'!$C$3)</f>
        <v>2100</v>
      </c>
      <c r="M40" s="59" t="n">
        <f aca="false">L40-(H40*'basic parameter'!$C$12)</f>
        <v>2014.5</v>
      </c>
      <c r="N40" s="60" t="n">
        <f aca="false">'basic parameter'!$C$2*'basic parameter'!$C$6</f>
        <v>37.8505305</v>
      </c>
      <c r="O40" s="58" t="n">
        <f aca="false">M40*N40</f>
        <v>76249.89369225</v>
      </c>
      <c r="P40" s="58" t="n">
        <f aca="false">IF(I40="Y",M40*J40%*'basic parameter'!$C$7*'basic parameter'!$C$9,0)</f>
        <v>0</v>
      </c>
      <c r="Q40" s="58" t="n">
        <f aca="false">MAX(O40-P40,0)</f>
        <v>76249.89369225</v>
      </c>
      <c r="R40" s="1" t="str">
        <f aca="false">IF(K40&gt;='basic parameter'!$C$8,"Y","N")</f>
        <v>Y</v>
      </c>
      <c r="S40" s="58" t="n">
        <f aca="false">IF(R40="Y",'basic parameter'!$C$11,0)</f>
        <v>5000</v>
      </c>
      <c r="T40" s="58" t="n">
        <f aca="false">E40*'basic parameter'!$C$10</f>
        <v>3750</v>
      </c>
      <c r="U40" s="61" t="n">
        <f aca="false">('basic parameter'!$C$3*E40-L40)*N40+P40+S40-T40</f>
        <v>23960.3183</v>
      </c>
    </row>
    <row r="41" customFormat="false" ht="14.25" hidden="false" customHeight="true" outlineLevel="0" collapsed="false">
      <c r="A41" s="1" t="n">
        <v>40</v>
      </c>
      <c r="B41" s="1" t="s">
        <v>258</v>
      </c>
      <c r="C41" s="56" t="n">
        <v>46439</v>
      </c>
      <c r="D41" s="1" t="s">
        <v>224</v>
      </c>
      <c r="E41" s="57" t="n">
        <v>2500</v>
      </c>
      <c r="F41" s="1" t="s">
        <v>16</v>
      </c>
      <c r="G41" s="1" t="n">
        <v>1.84</v>
      </c>
      <c r="H41" s="57" t="n">
        <v>398</v>
      </c>
      <c r="I41" s="1" t="s">
        <v>135</v>
      </c>
      <c r="J41" s="1" t="n">
        <v>80</v>
      </c>
      <c r="K41" s="58" t="n">
        <v>2645257</v>
      </c>
      <c r="L41" s="59" t="n">
        <f aca="false">IF(G41&lt;&gt;"",E41*G41,E41*'basic parameter'!$C$3)</f>
        <v>4600</v>
      </c>
      <c r="M41" s="59" t="n">
        <f aca="false">L41-(H41*'basic parameter'!$C$12)</f>
        <v>4480.6</v>
      </c>
      <c r="N41" s="60" t="n">
        <f aca="false">'basic parameter'!$C$2*'basic parameter'!$C$6</f>
        <v>37.8505305</v>
      </c>
      <c r="O41" s="58" t="n">
        <f aca="false">M41*N41</f>
        <v>169593.0869583</v>
      </c>
      <c r="P41" s="58" t="n">
        <f aca="false">IF(I41="Y",M41*J41%*'basic parameter'!$C$7*'basic parameter'!$C$9,0)</f>
        <v>39787.728</v>
      </c>
      <c r="Q41" s="58" t="n">
        <f aca="false">MAX(O41-P41,0)</f>
        <v>129805.3589583</v>
      </c>
      <c r="R41" s="1" t="str">
        <f aca="false">IF(K41&gt;='basic parameter'!$C$8,"Y","N")</f>
        <v>Y</v>
      </c>
      <c r="S41" s="58" t="n">
        <f aca="false">IF(R41="Y",'basic parameter'!$C$11,0)</f>
        <v>5000</v>
      </c>
      <c r="T41" s="58" t="n">
        <f aca="false">E41*'basic parameter'!$C$10</f>
        <v>6250</v>
      </c>
      <c r="U41" s="61" t="n">
        <f aca="false">('basic parameter'!$C$3*E41-L41)*N41+P41+S41-T41</f>
        <v>34752.67495</v>
      </c>
    </row>
    <row r="42" customFormat="false" ht="14.25" hidden="false" customHeight="true" outlineLevel="0" collapsed="false">
      <c r="A42" s="1" t="n">
        <v>41</v>
      </c>
      <c r="B42" s="1" t="s">
        <v>259</v>
      </c>
      <c r="C42" s="56" t="n">
        <v>46494</v>
      </c>
      <c r="D42" s="1" t="s">
        <v>146</v>
      </c>
      <c r="E42" s="57" t="n">
        <v>1250</v>
      </c>
      <c r="F42" s="1" t="s">
        <v>16</v>
      </c>
      <c r="G42" s="1" t="n">
        <v>1.81</v>
      </c>
      <c r="H42" s="57" t="n">
        <v>22</v>
      </c>
      <c r="I42" s="1" t="s">
        <v>24</v>
      </c>
      <c r="J42" s="1" t="n">
        <v>0</v>
      </c>
      <c r="K42" s="58" t="n">
        <v>1177810</v>
      </c>
      <c r="L42" s="59" t="n">
        <f aca="false">IF(G42&lt;&gt;"",E42*G42,E42*'basic parameter'!$C$3)</f>
        <v>2262.5</v>
      </c>
      <c r="M42" s="59" t="n">
        <f aca="false">L42-(H42*'basic parameter'!$C$12)</f>
        <v>2255.9</v>
      </c>
      <c r="N42" s="60" t="n">
        <f aca="false">'basic parameter'!$C$2*'basic parameter'!$C$6</f>
        <v>37.8505305</v>
      </c>
      <c r="O42" s="58" t="n">
        <f aca="false">M42*N42</f>
        <v>85387.01175495</v>
      </c>
      <c r="P42" s="58" t="n">
        <f aca="false">IF(I42="Y",M42*J42%*'basic parameter'!$C$7*'basic parameter'!$C$9,0)</f>
        <v>0</v>
      </c>
      <c r="Q42" s="58" t="n">
        <f aca="false">MAX(O42-P42,0)</f>
        <v>85387.01175495</v>
      </c>
      <c r="R42" s="1" t="str">
        <f aca="false">IF(K42&gt;='basic parameter'!$C$8,"Y","N")</f>
        <v>Y</v>
      </c>
      <c r="S42" s="58" t="n">
        <f aca="false">IF(R42="Y",'basic parameter'!$C$11,0)</f>
        <v>5000</v>
      </c>
      <c r="T42" s="58" t="n">
        <f aca="false">E42*'basic parameter'!$C$10</f>
        <v>3125</v>
      </c>
      <c r="U42" s="61" t="n">
        <f aca="false">('basic parameter'!$C$3*E42-L42)*N42+P42+S42-T42</f>
        <v>1401.86836875</v>
      </c>
    </row>
    <row r="43" customFormat="false" ht="14.25" hidden="false" customHeight="true" outlineLevel="0" collapsed="false">
      <c r="A43" s="1" t="n">
        <v>42</v>
      </c>
      <c r="B43" s="1" t="s">
        <v>260</v>
      </c>
      <c r="C43" s="56" t="n">
        <v>46404</v>
      </c>
      <c r="D43" s="1" t="s">
        <v>10</v>
      </c>
      <c r="E43" s="57" t="n">
        <v>1250</v>
      </c>
      <c r="F43" s="1" t="s">
        <v>214</v>
      </c>
      <c r="G43" s="1" t="n">
        <v>2.19</v>
      </c>
      <c r="H43" s="57" t="n">
        <v>222</v>
      </c>
      <c r="I43" s="1" t="s">
        <v>24</v>
      </c>
      <c r="J43" s="1" t="n">
        <v>0</v>
      </c>
      <c r="K43" s="58" t="n">
        <v>900824</v>
      </c>
      <c r="L43" s="59" t="n">
        <f aca="false">IF(G43&lt;&gt;"",E43*G43,E43*'basic parameter'!$C$3)</f>
        <v>2737.5</v>
      </c>
      <c r="M43" s="59" t="n">
        <f aca="false">L43-(H43*'basic parameter'!$C$12)</f>
        <v>2670.9</v>
      </c>
      <c r="N43" s="60" t="n">
        <f aca="false">'basic parameter'!$C$2*'basic parameter'!$C$6</f>
        <v>37.8505305</v>
      </c>
      <c r="O43" s="58" t="n">
        <f aca="false">M43*N43</f>
        <v>101094.98191245</v>
      </c>
      <c r="P43" s="58" t="n">
        <f aca="false">IF(I43="Y",M43*J43%*'basic parameter'!$C$7*'basic parameter'!$C$9,0)</f>
        <v>0</v>
      </c>
      <c r="Q43" s="58" t="n">
        <f aca="false">MAX(O43-P43,0)</f>
        <v>101094.98191245</v>
      </c>
      <c r="R43" s="1" t="str">
        <f aca="false">IF(K43&gt;='basic parameter'!$C$8,"Y","N")</f>
        <v>Y</v>
      </c>
      <c r="S43" s="58" t="n">
        <f aca="false">IF(R43="Y",'basic parameter'!$C$11,0)</f>
        <v>5000</v>
      </c>
      <c r="T43" s="58" t="n">
        <f aca="false">E43*'basic parameter'!$C$10</f>
        <v>3125</v>
      </c>
      <c r="U43" s="61" t="n">
        <f aca="false">('basic parameter'!$C$3*E43-L43)*N43+P43+S43-T43</f>
        <v>-16577.13361875</v>
      </c>
    </row>
    <row r="44" customFormat="false" ht="14.25" hidden="false" customHeight="true" outlineLevel="0" collapsed="false">
      <c r="A44" s="1" t="n">
        <v>43</v>
      </c>
      <c r="B44" s="1" t="s">
        <v>261</v>
      </c>
      <c r="C44" s="56" t="n">
        <v>46388</v>
      </c>
      <c r="D44" s="1" t="s">
        <v>146</v>
      </c>
      <c r="E44" s="57" t="n">
        <v>1000</v>
      </c>
      <c r="F44" s="1" t="s">
        <v>16</v>
      </c>
      <c r="G44" s="1" t="n">
        <v>1.86</v>
      </c>
      <c r="H44" s="57" t="n">
        <v>145</v>
      </c>
      <c r="I44" s="1" t="s">
        <v>24</v>
      </c>
      <c r="J44" s="1" t="n">
        <v>0</v>
      </c>
      <c r="K44" s="58" t="n">
        <v>1101191</v>
      </c>
      <c r="L44" s="59" t="n">
        <f aca="false">IF(G44&lt;&gt;"",E44*G44,E44*'basic parameter'!$C$3)</f>
        <v>1860</v>
      </c>
      <c r="M44" s="59" t="n">
        <f aca="false">L44-(H44*'basic parameter'!$C$12)</f>
        <v>1816.5</v>
      </c>
      <c r="N44" s="60" t="n">
        <f aca="false">'basic parameter'!$C$2*'basic parameter'!$C$6</f>
        <v>37.8505305</v>
      </c>
      <c r="O44" s="58" t="n">
        <f aca="false">M44*N44</f>
        <v>68755.48865325</v>
      </c>
      <c r="P44" s="58" t="n">
        <f aca="false">IF(I44="Y",M44*J44%*'basic parameter'!$C$7*'basic parameter'!$C$9,0)</f>
        <v>0</v>
      </c>
      <c r="Q44" s="58" t="n">
        <f aca="false">MAX(O44-P44,0)</f>
        <v>68755.48865325</v>
      </c>
      <c r="R44" s="1" t="str">
        <f aca="false">IF(K44&gt;='basic parameter'!$C$8,"Y","N")</f>
        <v>Y</v>
      </c>
      <c r="S44" s="58" t="n">
        <f aca="false">IF(R44="Y",'basic parameter'!$C$11,0)</f>
        <v>5000</v>
      </c>
      <c r="T44" s="58" t="n">
        <f aca="false">E44*'basic parameter'!$C$10</f>
        <v>2500</v>
      </c>
      <c r="U44" s="61" t="n">
        <f aca="false">('basic parameter'!$C$3*E44-L44)*N44+P44+S44-T44</f>
        <v>228.96817</v>
      </c>
    </row>
    <row r="45" customFormat="false" ht="14.25" hidden="false" customHeight="true" outlineLevel="0" collapsed="false">
      <c r="A45" s="1" t="n">
        <v>44</v>
      </c>
      <c r="B45" s="1" t="s">
        <v>262</v>
      </c>
      <c r="C45" s="56" t="n">
        <v>46459</v>
      </c>
      <c r="D45" s="1" t="s">
        <v>148</v>
      </c>
      <c r="E45" s="57" t="n">
        <v>150</v>
      </c>
      <c r="F45" s="1" t="s">
        <v>16</v>
      </c>
      <c r="G45" s="1" t="n">
        <v>2.29</v>
      </c>
      <c r="H45" s="57" t="n">
        <v>4</v>
      </c>
      <c r="I45" s="1" t="s">
        <v>24</v>
      </c>
      <c r="J45" s="1" t="n">
        <v>0</v>
      </c>
      <c r="K45" s="58" t="n">
        <v>111670</v>
      </c>
      <c r="L45" s="59" t="n">
        <f aca="false">IF(G45&lt;&gt;"",E45*G45,E45*'basic parameter'!$C$3)</f>
        <v>343.5</v>
      </c>
      <c r="M45" s="59" t="n">
        <f aca="false">L45-(H45*'basic parameter'!$C$12)</f>
        <v>342.3</v>
      </c>
      <c r="N45" s="60" t="n">
        <f aca="false">'basic parameter'!$C$2*'basic parameter'!$C$6</f>
        <v>37.8505305</v>
      </c>
      <c r="O45" s="58" t="n">
        <f aca="false">M45*N45</f>
        <v>12956.23659015</v>
      </c>
      <c r="P45" s="58" t="n">
        <f aca="false">IF(I45="Y",M45*J45%*'basic parameter'!$C$7*'basic parameter'!$C$9,0)</f>
        <v>0</v>
      </c>
      <c r="Q45" s="58" t="n">
        <f aca="false">MAX(O45-P45,0)</f>
        <v>12956.23659015</v>
      </c>
      <c r="R45" s="1" t="str">
        <f aca="false">IF(K45&gt;='basic parameter'!$C$8,"Y","N")</f>
        <v>Y</v>
      </c>
      <c r="S45" s="58" t="n">
        <f aca="false">IF(R45="Y",'basic parameter'!$C$11,0)</f>
        <v>5000</v>
      </c>
      <c r="T45" s="58" t="n">
        <f aca="false">E45*'basic parameter'!$C$10</f>
        <v>375</v>
      </c>
      <c r="U45" s="61" t="n">
        <f aca="false">('basic parameter'!$C$3*E45-L45)*N45+P45+S45-T45</f>
        <v>1842.98600825</v>
      </c>
    </row>
    <row r="46" customFormat="false" ht="14.25" hidden="false" customHeight="true" outlineLevel="0" collapsed="false">
      <c r="A46" s="1" t="n">
        <v>45</v>
      </c>
      <c r="B46" s="1" t="s">
        <v>263</v>
      </c>
      <c r="C46" s="56" t="n">
        <v>46400</v>
      </c>
      <c r="D46" s="1" t="s">
        <v>138</v>
      </c>
      <c r="E46" s="57" t="n">
        <v>3000</v>
      </c>
      <c r="F46" s="1" t="s">
        <v>16</v>
      </c>
      <c r="G46" s="1" t="n">
        <v>1.95</v>
      </c>
      <c r="H46" s="57" t="n">
        <v>89</v>
      </c>
      <c r="I46" s="1" t="s">
        <v>135</v>
      </c>
      <c r="J46" s="1" t="n">
        <v>80</v>
      </c>
      <c r="K46" s="58" t="n">
        <v>2898392</v>
      </c>
      <c r="L46" s="59" t="n">
        <f aca="false">IF(G46&lt;&gt;"",E46*G46,E46*'basic parameter'!$C$3)</f>
        <v>5850</v>
      </c>
      <c r="M46" s="59" t="n">
        <f aca="false">L46-(H46*'basic parameter'!$C$12)</f>
        <v>5823.3</v>
      </c>
      <c r="N46" s="60" t="n">
        <f aca="false">'basic parameter'!$C$2*'basic parameter'!$C$6</f>
        <v>37.8505305</v>
      </c>
      <c r="O46" s="58" t="n">
        <f aca="false">M46*N46</f>
        <v>220414.99426065</v>
      </c>
      <c r="P46" s="58" t="n">
        <f aca="false">IF(I46="Y",M46*J46%*'basic parameter'!$C$7*'basic parameter'!$C$9,0)</f>
        <v>51710.904</v>
      </c>
      <c r="Q46" s="58" t="n">
        <f aca="false">MAX(O46-P46,0)</f>
        <v>168704.09026065</v>
      </c>
      <c r="R46" s="1" t="str">
        <f aca="false">IF(K46&gt;='basic parameter'!$C$8,"Y","N")</f>
        <v>Y</v>
      </c>
      <c r="S46" s="58" t="n">
        <f aca="false">IF(R46="Y",'basic parameter'!$C$11,0)</f>
        <v>5000</v>
      </c>
      <c r="T46" s="58" t="n">
        <f aca="false">E46*'basic parameter'!$C$10</f>
        <v>7500</v>
      </c>
      <c r="U46" s="61" t="n">
        <f aca="false">('basic parameter'!$C$3*E46-L46)*N46+P46+S46-T46</f>
        <v>32178.165275</v>
      </c>
    </row>
    <row r="47" customFormat="false" ht="14.25" hidden="false" customHeight="true" outlineLevel="0" collapsed="false">
      <c r="A47" s="1" t="n">
        <v>46</v>
      </c>
      <c r="B47" s="1" t="s">
        <v>264</v>
      </c>
      <c r="C47" s="56" t="n">
        <v>46432</v>
      </c>
      <c r="D47" s="1" t="s">
        <v>158</v>
      </c>
      <c r="E47" s="57" t="n">
        <v>150</v>
      </c>
      <c r="F47" s="1" t="s">
        <v>214</v>
      </c>
      <c r="G47" s="1" t="n">
        <v>0.45</v>
      </c>
      <c r="H47" s="57" t="n">
        <v>28</v>
      </c>
      <c r="I47" s="1" t="s">
        <v>135</v>
      </c>
      <c r="J47" s="1" t="n">
        <v>80</v>
      </c>
      <c r="K47" s="58" t="n">
        <v>116092</v>
      </c>
      <c r="L47" s="59" t="n">
        <f aca="false">IF(G47&lt;&gt;"",E47*G47,E47*'basic parameter'!$C$3)</f>
        <v>67.5</v>
      </c>
      <c r="M47" s="59" t="n">
        <f aca="false">L47-(H47*'basic parameter'!$C$12)</f>
        <v>59.1</v>
      </c>
      <c r="N47" s="60" t="n">
        <f aca="false">'basic parameter'!$C$2*'basic parameter'!$C$6</f>
        <v>37.8505305</v>
      </c>
      <c r="O47" s="58" t="n">
        <f aca="false">M47*N47</f>
        <v>2236.96635255</v>
      </c>
      <c r="P47" s="58" t="n">
        <f aca="false">IF(I47="Y",M47*J47%*'basic parameter'!$C$7*'basic parameter'!$C$9,0)</f>
        <v>524.808</v>
      </c>
      <c r="Q47" s="58" t="n">
        <f aca="false">MAX(O47-P47,0)</f>
        <v>1712.15835255</v>
      </c>
      <c r="R47" s="1" t="str">
        <f aca="false">IF(K47&gt;='basic parameter'!$C$8,"Y","N")</f>
        <v>Y</v>
      </c>
      <c r="S47" s="58" t="n">
        <f aca="false">IF(R47="Y",'basic parameter'!$C$11,0)</f>
        <v>5000</v>
      </c>
      <c r="T47" s="58" t="n">
        <f aca="false">E47*'basic parameter'!$C$10</f>
        <v>375</v>
      </c>
      <c r="U47" s="61" t="n">
        <f aca="false">('basic parameter'!$C$3*E47-L47)*N47+P47+S47-T47</f>
        <v>12814.54042625</v>
      </c>
    </row>
    <row r="48" customFormat="false" ht="14.25" hidden="false" customHeight="true" outlineLevel="0" collapsed="false">
      <c r="A48" s="1" t="n">
        <v>47</v>
      </c>
      <c r="B48" s="1" t="s">
        <v>265</v>
      </c>
      <c r="C48" s="56" t="n">
        <v>46449</v>
      </c>
      <c r="D48" s="1" t="s">
        <v>154</v>
      </c>
      <c r="E48" s="57" t="n">
        <v>1500</v>
      </c>
      <c r="F48" s="1" t="s">
        <v>16</v>
      </c>
      <c r="G48" s="1" t="n">
        <v>1.8</v>
      </c>
      <c r="H48" s="57" t="n">
        <v>136</v>
      </c>
      <c r="I48" s="1" t="s">
        <v>135</v>
      </c>
      <c r="J48" s="1" t="n">
        <v>80</v>
      </c>
      <c r="K48" s="58" t="n">
        <v>1135180</v>
      </c>
      <c r="L48" s="59" t="n">
        <f aca="false">IF(G48&lt;&gt;"",E48*G48,E48*'basic parameter'!$C$3)</f>
        <v>2700</v>
      </c>
      <c r="M48" s="59" t="n">
        <f aca="false">L48-(H48*'basic parameter'!$C$12)</f>
        <v>2659.2</v>
      </c>
      <c r="N48" s="60" t="n">
        <f aca="false">'basic parameter'!$C$2*'basic parameter'!$C$6</f>
        <v>37.8505305</v>
      </c>
      <c r="O48" s="58" t="n">
        <f aca="false">M48*N48</f>
        <v>100652.1307056</v>
      </c>
      <c r="P48" s="58" t="n">
        <f aca="false">IF(I48="Y",M48*J48%*'basic parameter'!$C$7*'basic parameter'!$C$9,0)</f>
        <v>23613.696</v>
      </c>
      <c r="Q48" s="58" t="n">
        <f aca="false">MAX(O48-P48,0)</f>
        <v>77038.4347056</v>
      </c>
      <c r="R48" s="1" t="str">
        <f aca="false">IF(K48&gt;='basic parameter'!$C$8,"Y","N")</f>
        <v>Y</v>
      </c>
      <c r="S48" s="58" t="n">
        <f aca="false">IF(R48="Y",'basic parameter'!$C$11,0)</f>
        <v>5000</v>
      </c>
      <c r="T48" s="58" t="n">
        <f aca="false">E48*'basic parameter'!$C$10</f>
        <v>3750</v>
      </c>
      <c r="U48" s="61" t="n">
        <f aca="false">('basic parameter'!$C$3*E48-L48)*N48+P48+S48-T48</f>
        <v>24863.696</v>
      </c>
    </row>
    <row r="49" customFormat="false" ht="14.25" hidden="false" customHeight="true" outlineLevel="0" collapsed="false">
      <c r="A49" s="1" t="n">
        <v>48</v>
      </c>
      <c r="B49" s="1" t="s">
        <v>266</v>
      </c>
      <c r="C49" s="56" t="n">
        <v>46508</v>
      </c>
      <c r="D49" s="1" t="s">
        <v>146</v>
      </c>
      <c r="E49" s="57" t="n">
        <v>2000</v>
      </c>
      <c r="F49" s="1" t="s">
        <v>16</v>
      </c>
      <c r="G49" s="1" t="n">
        <v>1.85</v>
      </c>
      <c r="H49" s="57" t="n">
        <v>274</v>
      </c>
      <c r="I49" s="1" t="s">
        <v>24</v>
      </c>
      <c r="J49" s="1" t="n">
        <v>0</v>
      </c>
      <c r="K49" s="58" t="n">
        <v>1790006</v>
      </c>
      <c r="L49" s="59" t="n">
        <f aca="false">IF(G49&lt;&gt;"",E49*G49,E49*'basic parameter'!$C$3)</f>
        <v>3700</v>
      </c>
      <c r="M49" s="59" t="n">
        <f aca="false">L49-(H49*'basic parameter'!$C$12)</f>
        <v>3617.8</v>
      </c>
      <c r="N49" s="60" t="n">
        <f aca="false">'basic parameter'!$C$2*'basic parameter'!$C$6</f>
        <v>37.8505305</v>
      </c>
      <c r="O49" s="58" t="n">
        <f aca="false">M49*N49</f>
        <v>136935.6492429</v>
      </c>
      <c r="P49" s="58" t="n">
        <f aca="false">IF(I49="Y",M49*J49%*'basic parameter'!$C$7*'basic parameter'!$C$9,0)</f>
        <v>0</v>
      </c>
      <c r="Q49" s="58" t="n">
        <f aca="false">MAX(O49-P49,0)</f>
        <v>136935.6492429</v>
      </c>
      <c r="R49" s="1" t="str">
        <f aca="false">IF(K49&gt;='basic parameter'!$C$8,"Y","N")</f>
        <v>Y</v>
      </c>
      <c r="S49" s="58" t="n">
        <f aca="false">IF(R49="Y",'basic parameter'!$C$11,0)</f>
        <v>5000</v>
      </c>
      <c r="T49" s="58" t="n">
        <f aca="false">E49*'basic parameter'!$C$10</f>
        <v>5000</v>
      </c>
      <c r="U49" s="61" t="n">
        <f aca="false">('basic parameter'!$C$3*E49-L49)*N49+P49+S49-T49</f>
        <v>-3785.05305</v>
      </c>
    </row>
    <row r="50" customFormat="false" ht="14.25" hidden="false" customHeight="true" outlineLevel="0" collapsed="false">
      <c r="A50" s="1" t="n">
        <v>49</v>
      </c>
      <c r="B50" s="1" t="s">
        <v>267</v>
      </c>
      <c r="C50" s="56" t="n">
        <v>46502</v>
      </c>
      <c r="D50" s="1" t="s">
        <v>138</v>
      </c>
      <c r="E50" s="57" t="n">
        <v>1500</v>
      </c>
      <c r="F50" s="1" t="s">
        <v>214</v>
      </c>
      <c r="G50" s="1" t="n">
        <v>0.46</v>
      </c>
      <c r="H50" s="57" t="n">
        <v>272</v>
      </c>
      <c r="I50" s="1" t="s">
        <v>135</v>
      </c>
      <c r="J50" s="1" t="n">
        <v>80</v>
      </c>
      <c r="K50" s="58" t="n">
        <v>1511458</v>
      </c>
      <c r="L50" s="59" t="n">
        <f aca="false">IF(G50&lt;&gt;"",E50*G50,E50*'basic parameter'!$C$3)</f>
        <v>690</v>
      </c>
      <c r="M50" s="59" t="n">
        <f aca="false">L50-(H50*'basic parameter'!$C$12)</f>
        <v>608.4</v>
      </c>
      <c r="N50" s="60" t="n">
        <f aca="false">'basic parameter'!$C$2*'basic parameter'!$C$6</f>
        <v>37.8505305</v>
      </c>
      <c r="O50" s="58" t="n">
        <f aca="false">M50*N50</f>
        <v>23028.2627562</v>
      </c>
      <c r="P50" s="58" t="n">
        <f aca="false">IF(I50="Y",M50*J50%*'basic parameter'!$C$7*'basic parameter'!$C$9,0)</f>
        <v>5402.592</v>
      </c>
      <c r="Q50" s="58" t="n">
        <f aca="false">MAX(O50-P50,0)</f>
        <v>17625.6707562</v>
      </c>
      <c r="R50" s="1" t="str">
        <f aca="false">IF(K50&gt;='basic parameter'!$C$8,"Y","N")</f>
        <v>Y</v>
      </c>
      <c r="S50" s="58" t="n">
        <f aca="false">IF(R50="Y",'basic parameter'!$C$11,0)</f>
        <v>5000</v>
      </c>
      <c r="T50" s="58" t="n">
        <f aca="false">E50*'basic parameter'!$C$10</f>
        <v>3750</v>
      </c>
      <c r="U50" s="61" t="n">
        <f aca="false">('basic parameter'!$C$3*E50-L50)*N50+P50+S50-T50</f>
        <v>82732.158305</v>
      </c>
    </row>
    <row r="51" customFormat="false" ht="14.25" hidden="false" customHeight="true" outlineLevel="0" collapsed="false">
      <c r="A51" s="1" t="n">
        <v>50</v>
      </c>
      <c r="B51" s="1" t="s">
        <v>268</v>
      </c>
      <c r="C51" s="56" t="n">
        <v>46492</v>
      </c>
      <c r="D51" s="1" t="s">
        <v>134</v>
      </c>
      <c r="E51" s="57" t="n">
        <v>3000</v>
      </c>
      <c r="F51" s="1" t="s">
        <v>16</v>
      </c>
      <c r="G51" s="1" t="n">
        <v>2.31</v>
      </c>
      <c r="H51" s="57" t="n">
        <v>144</v>
      </c>
      <c r="I51" s="1" t="s">
        <v>135</v>
      </c>
      <c r="J51" s="1" t="n">
        <v>80</v>
      </c>
      <c r="K51" s="58" t="n">
        <v>2873696</v>
      </c>
      <c r="L51" s="59" t="n">
        <f aca="false">IF(G51&lt;&gt;"",E51*G51,E51*'basic parameter'!$C$3)</f>
        <v>6930</v>
      </c>
      <c r="M51" s="59" t="n">
        <f aca="false">L51-(H51*'basic parameter'!$C$12)</f>
        <v>6886.8</v>
      </c>
      <c r="N51" s="60" t="n">
        <f aca="false">'basic parameter'!$C$2*'basic parameter'!$C$6</f>
        <v>37.8505305</v>
      </c>
      <c r="O51" s="58" t="n">
        <f aca="false">M51*N51</f>
        <v>260669.0334474</v>
      </c>
      <c r="P51" s="58" t="n">
        <f aca="false">IF(I51="Y",M51*J51%*'basic parameter'!$C$7*'basic parameter'!$C$9,0)</f>
        <v>61154.784</v>
      </c>
      <c r="Q51" s="58" t="n">
        <f aca="false">MAX(O51-P51,0)</f>
        <v>199514.2494474</v>
      </c>
      <c r="R51" s="1" t="str">
        <f aca="false">IF(K51&gt;='basic parameter'!$C$8,"Y","N")</f>
        <v>Y</v>
      </c>
      <c r="S51" s="58" t="n">
        <f aca="false">IF(R51="Y",'basic parameter'!$C$11,0)</f>
        <v>5000</v>
      </c>
      <c r="T51" s="58" t="n">
        <f aca="false">E51*'basic parameter'!$C$10</f>
        <v>7500</v>
      </c>
      <c r="U51" s="61" t="n">
        <f aca="false">('basic parameter'!$C$3*E51-L51)*N51+P51+S51-T51</f>
        <v>743.472335000013</v>
      </c>
    </row>
    <row r="52" customFormat="false" ht="14.25" hidden="false" customHeight="true" outlineLevel="0" collapsed="false">
      <c r="A52" s="1" t="n">
        <v>51</v>
      </c>
      <c r="B52" s="1" t="s">
        <v>269</v>
      </c>
      <c r="C52" s="56" t="n">
        <v>46458</v>
      </c>
      <c r="D52" s="1" t="s">
        <v>10</v>
      </c>
      <c r="E52" s="57" t="n">
        <v>1250</v>
      </c>
      <c r="F52" s="1" t="s">
        <v>214</v>
      </c>
      <c r="G52" s="1" t="n">
        <v>2.16</v>
      </c>
      <c r="H52" s="57" t="n">
        <v>99</v>
      </c>
      <c r="I52" s="1" t="s">
        <v>24</v>
      </c>
      <c r="J52" s="1" t="n">
        <v>0</v>
      </c>
      <c r="K52" s="58" t="n">
        <v>1418663</v>
      </c>
      <c r="L52" s="59" t="n">
        <f aca="false">IF(G52&lt;&gt;"",E52*G52,E52*'basic parameter'!$C$3)</f>
        <v>2700</v>
      </c>
      <c r="M52" s="59" t="n">
        <f aca="false">L52-(H52*'basic parameter'!$C$12)</f>
        <v>2670.3</v>
      </c>
      <c r="N52" s="60" t="n">
        <f aca="false">'basic parameter'!$C$2*'basic parameter'!$C$6</f>
        <v>37.8505305</v>
      </c>
      <c r="O52" s="58" t="n">
        <f aca="false">M52*N52</f>
        <v>101072.27159415</v>
      </c>
      <c r="P52" s="58" t="n">
        <f aca="false">IF(I52="Y",M52*J52%*'basic parameter'!$C$7*'basic parameter'!$C$9,0)</f>
        <v>0</v>
      </c>
      <c r="Q52" s="58" t="n">
        <f aca="false">MAX(O52-P52,0)</f>
        <v>101072.27159415</v>
      </c>
      <c r="R52" s="1" t="str">
        <f aca="false">IF(K52&gt;='basic parameter'!$C$8,"Y","N")</f>
        <v>Y</v>
      </c>
      <c r="S52" s="58" t="n">
        <f aca="false">IF(R52="Y",'basic parameter'!$C$11,0)</f>
        <v>5000</v>
      </c>
      <c r="T52" s="58" t="n">
        <f aca="false">E52*'basic parameter'!$C$10</f>
        <v>3125</v>
      </c>
      <c r="U52" s="61" t="n">
        <f aca="false">('basic parameter'!$C$3*E52-L52)*N52+P52+S52-T52</f>
        <v>-15157.738725</v>
      </c>
    </row>
    <row r="53" customFormat="false" ht="14.25" hidden="false" customHeight="true" outlineLevel="0" collapsed="false">
      <c r="A53" s="1" t="n">
        <v>52</v>
      </c>
      <c r="B53" s="1" t="s">
        <v>270</v>
      </c>
      <c r="C53" s="56" t="n">
        <v>46415</v>
      </c>
      <c r="D53" s="1" t="s">
        <v>138</v>
      </c>
      <c r="E53" s="57" t="n">
        <v>1250</v>
      </c>
      <c r="F53" s="1" t="s">
        <v>214</v>
      </c>
      <c r="G53" s="1" t="n">
        <v>0.46</v>
      </c>
      <c r="H53" s="57" t="n">
        <v>309</v>
      </c>
      <c r="I53" s="1" t="s">
        <v>135</v>
      </c>
      <c r="J53" s="1" t="n">
        <v>80</v>
      </c>
      <c r="K53" s="58" t="n">
        <v>1426186</v>
      </c>
      <c r="L53" s="59" t="n">
        <f aca="false">IF(G53&lt;&gt;"",E53*G53,E53*'basic parameter'!$C$3)</f>
        <v>575</v>
      </c>
      <c r="M53" s="59" t="n">
        <f aca="false">L53-(H53*'basic parameter'!$C$12)</f>
        <v>482.3</v>
      </c>
      <c r="N53" s="60" t="n">
        <f aca="false">'basic parameter'!$C$2*'basic parameter'!$C$6</f>
        <v>37.8505305</v>
      </c>
      <c r="O53" s="58" t="n">
        <f aca="false">M53*N53</f>
        <v>18255.31086015</v>
      </c>
      <c r="P53" s="58" t="n">
        <f aca="false">IF(I53="Y",M53*J53%*'basic parameter'!$C$7*'basic parameter'!$C$9,0)</f>
        <v>4282.824</v>
      </c>
      <c r="Q53" s="58" t="n">
        <f aca="false">MAX(O53-P53,0)</f>
        <v>13972.48686015</v>
      </c>
      <c r="R53" s="1" t="str">
        <f aca="false">IF(K53&gt;='basic parameter'!$C$8,"Y","N")</f>
        <v>Y</v>
      </c>
      <c r="S53" s="58" t="n">
        <f aca="false">IF(R53="Y",'basic parameter'!$C$11,0)</f>
        <v>5000</v>
      </c>
      <c r="T53" s="58" t="n">
        <f aca="false">E53*'basic parameter'!$C$10</f>
        <v>3125</v>
      </c>
      <c r="U53" s="61" t="n">
        <f aca="false">('basic parameter'!$C$3*E53-L53)*N53+P53+S53-T53</f>
        <v>69557.4625875</v>
      </c>
    </row>
    <row r="54" customFormat="false" ht="14.25" hidden="false" customHeight="true" outlineLevel="0" collapsed="false">
      <c r="A54" s="1" t="n">
        <v>53</v>
      </c>
      <c r="B54" s="1" t="s">
        <v>271</v>
      </c>
      <c r="C54" s="56" t="n">
        <v>46482</v>
      </c>
      <c r="D54" s="1" t="s">
        <v>160</v>
      </c>
      <c r="E54" s="57" t="n">
        <v>3000</v>
      </c>
      <c r="F54" s="1" t="s">
        <v>214</v>
      </c>
      <c r="G54" s="1" t="n">
        <v>0.4</v>
      </c>
      <c r="H54" s="57" t="n">
        <v>706</v>
      </c>
      <c r="I54" s="1" t="s">
        <v>135</v>
      </c>
      <c r="J54" s="1" t="n">
        <v>80</v>
      </c>
      <c r="K54" s="58" t="n">
        <v>2741931</v>
      </c>
      <c r="L54" s="59" t="n">
        <f aca="false">IF(G54&lt;&gt;"",E54*G54,E54*'basic parameter'!$C$3)</f>
        <v>1200</v>
      </c>
      <c r="M54" s="59" t="n">
        <f aca="false">L54-(H54*'basic parameter'!$C$12)</f>
        <v>988.2</v>
      </c>
      <c r="N54" s="60" t="n">
        <f aca="false">'basic parameter'!$C$2*'basic parameter'!$C$6</f>
        <v>37.8505305</v>
      </c>
      <c r="O54" s="58" t="n">
        <f aca="false">M54*N54</f>
        <v>37403.8942401</v>
      </c>
      <c r="P54" s="58" t="n">
        <f aca="false">IF(I54="Y",M54*J54%*'basic parameter'!$C$7*'basic parameter'!$C$9,0)</f>
        <v>8775.216</v>
      </c>
      <c r="Q54" s="58" t="n">
        <f aca="false">MAX(O54-P54,0)</f>
        <v>28628.6782401</v>
      </c>
      <c r="R54" s="1" t="str">
        <f aca="false">IF(K54&gt;='basic parameter'!$C$8,"Y","N")</f>
        <v>Y</v>
      </c>
      <c r="S54" s="58" t="n">
        <f aca="false">IF(R54="Y",'basic parameter'!$C$11,0)</f>
        <v>5000</v>
      </c>
      <c r="T54" s="58" t="n">
        <f aca="false">E54*'basic parameter'!$C$10</f>
        <v>7500</v>
      </c>
      <c r="U54" s="61" t="n">
        <f aca="false">('basic parameter'!$C$3*E54-L54)*N54+P54+S54-T54</f>
        <v>165247.4441</v>
      </c>
    </row>
    <row r="55" customFormat="false" ht="14.25" hidden="false" customHeight="true" outlineLevel="0" collapsed="false">
      <c r="A55" s="1" t="n">
        <v>54</v>
      </c>
      <c r="B55" s="1" t="s">
        <v>272</v>
      </c>
      <c r="C55" s="56" t="n">
        <v>46463</v>
      </c>
      <c r="D55" s="1" t="s">
        <v>134</v>
      </c>
      <c r="E55" s="57" t="n">
        <v>2500</v>
      </c>
      <c r="F55" s="1" t="s">
        <v>16</v>
      </c>
      <c r="G55" s="1" t="n">
        <v>2.24</v>
      </c>
      <c r="H55" s="57" t="n">
        <v>9</v>
      </c>
      <c r="I55" s="1" t="s">
        <v>135</v>
      </c>
      <c r="J55" s="1" t="n">
        <v>80</v>
      </c>
      <c r="K55" s="58" t="n">
        <v>2304626</v>
      </c>
      <c r="L55" s="59" t="n">
        <f aca="false">IF(G55&lt;&gt;"",E55*G55,E55*'basic parameter'!$C$3)</f>
        <v>5600</v>
      </c>
      <c r="M55" s="59" t="n">
        <f aca="false">L55-(H55*'basic parameter'!$C$12)</f>
        <v>5597.3</v>
      </c>
      <c r="N55" s="60" t="n">
        <f aca="false">'basic parameter'!$C$2*'basic parameter'!$C$6</f>
        <v>37.8505305</v>
      </c>
      <c r="O55" s="58" t="n">
        <f aca="false">M55*N55</f>
        <v>211860.77436765</v>
      </c>
      <c r="P55" s="58" t="n">
        <f aca="false">IF(I55="Y",M55*J55%*'basic parameter'!$C$7*'basic parameter'!$C$9,0)</f>
        <v>49704.024</v>
      </c>
      <c r="Q55" s="58" t="n">
        <f aca="false">MAX(O55-P55,0)</f>
        <v>162156.75036765</v>
      </c>
      <c r="R55" s="1" t="str">
        <f aca="false">IF(K55&gt;='basic parameter'!$C$8,"Y","N")</f>
        <v>Y</v>
      </c>
      <c r="S55" s="58" t="n">
        <f aca="false">IF(R55="Y",'basic parameter'!$C$11,0)</f>
        <v>5000</v>
      </c>
      <c r="T55" s="58" t="n">
        <f aca="false">E55*'basic parameter'!$C$10</f>
        <v>6250</v>
      </c>
      <c r="U55" s="61" t="n">
        <f aca="false">('basic parameter'!$C$3*E55-L55)*N55+P55+S55-T55</f>
        <v>6818.44044999998</v>
      </c>
    </row>
    <row r="56" customFormat="false" ht="14.25" hidden="false" customHeight="true" outlineLevel="0" collapsed="false">
      <c r="A56" s="1" t="n">
        <v>55</v>
      </c>
      <c r="B56" s="1" t="s">
        <v>273</v>
      </c>
      <c r="C56" s="56" t="n">
        <v>46497</v>
      </c>
      <c r="D56" s="1" t="s">
        <v>142</v>
      </c>
      <c r="E56" s="57" t="n">
        <v>1250</v>
      </c>
      <c r="F56" s="1" t="s">
        <v>214</v>
      </c>
      <c r="G56" s="1" t="n">
        <v>0.6</v>
      </c>
      <c r="H56" s="57" t="n">
        <v>272</v>
      </c>
      <c r="I56" s="1" t="s">
        <v>24</v>
      </c>
      <c r="J56" s="1" t="n">
        <v>0</v>
      </c>
      <c r="K56" s="58" t="n">
        <v>916804</v>
      </c>
      <c r="L56" s="59" t="n">
        <f aca="false">IF(G56&lt;&gt;"",E56*G56,E56*'basic parameter'!$C$3)</f>
        <v>750</v>
      </c>
      <c r="M56" s="59" t="n">
        <f aca="false">L56-(H56*'basic parameter'!$C$12)</f>
        <v>668.4</v>
      </c>
      <c r="N56" s="60" t="n">
        <f aca="false">'basic parameter'!$C$2*'basic parameter'!$C$6</f>
        <v>37.8505305</v>
      </c>
      <c r="O56" s="58" t="n">
        <f aca="false">M56*N56</f>
        <v>25299.2945862</v>
      </c>
      <c r="P56" s="58" t="n">
        <f aca="false">IF(I56="Y",M56*J56%*'basic parameter'!$C$7*'basic parameter'!$C$9,0)</f>
        <v>0</v>
      </c>
      <c r="Q56" s="58" t="n">
        <f aca="false">MAX(O56-P56,0)</f>
        <v>25299.2945862</v>
      </c>
      <c r="R56" s="1" t="str">
        <f aca="false">IF(K56&gt;='basic parameter'!$C$8,"Y","N")</f>
        <v>Y</v>
      </c>
      <c r="S56" s="58" t="n">
        <f aca="false">IF(R56="Y",'basic parameter'!$C$11,0)</f>
        <v>5000</v>
      </c>
      <c r="T56" s="58" t="n">
        <f aca="false">E56*'basic parameter'!$C$10</f>
        <v>3125</v>
      </c>
      <c r="U56" s="61" t="n">
        <f aca="false">('basic parameter'!$C$3*E56-L56)*N56+P56+S56-T56</f>
        <v>58650.79575</v>
      </c>
    </row>
    <row r="57" customFormat="false" ht="14.25" hidden="false" customHeight="true" outlineLevel="0" collapsed="false">
      <c r="A57" s="1" t="n">
        <v>56</v>
      </c>
      <c r="B57" s="1" t="s">
        <v>274</v>
      </c>
      <c r="C57" s="56" t="n">
        <v>46422</v>
      </c>
      <c r="D57" s="1" t="s">
        <v>140</v>
      </c>
      <c r="E57" s="57" t="n">
        <v>1000</v>
      </c>
      <c r="F57" s="1" t="s">
        <v>16</v>
      </c>
      <c r="G57" s="1" t="n">
        <v>1.85</v>
      </c>
      <c r="H57" s="57" t="n">
        <v>38</v>
      </c>
      <c r="I57" s="1" t="s">
        <v>24</v>
      </c>
      <c r="J57" s="1" t="n">
        <v>0</v>
      </c>
      <c r="K57" s="58" t="n">
        <v>1057252</v>
      </c>
      <c r="L57" s="59" t="n">
        <f aca="false">IF(G57&lt;&gt;"",E57*G57,E57*'basic parameter'!$C$3)</f>
        <v>1850</v>
      </c>
      <c r="M57" s="59" t="n">
        <f aca="false">L57-(H57*'basic parameter'!$C$12)</f>
        <v>1838.6</v>
      </c>
      <c r="N57" s="60" t="n">
        <f aca="false">'basic parameter'!$C$2*'basic parameter'!$C$6</f>
        <v>37.8505305</v>
      </c>
      <c r="O57" s="58" t="n">
        <f aca="false">M57*N57</f>
        <v>69591.9853773</v>
      </c>
      <c r="P57" s="58" t="n">
        <f aca="false">IF(I57="Y",M57*J57%*'basic parameter'!$C$7*'basic parameter'!$C$9,0)</f>
        <v>0</v>
      </c>
      <c r="Q57" s="58" t="n">
        <f aca="false">MAX(O57-P57,0)</f>
        <v>69591.9853773</v>
      </c>
      <c r="R57" s="1" t="str">
        <f aca="false">IF(K57&gt;='basic parameter'!$C$8,"Y","N")</f>
        <v>Y</v>
      </c>
      <c r="S57" s="58" t="n">
        <f aca="false">IF(R57="Y",'basic parameter'!$C$11,0)</f>
        <v>5000</v>
      </c>
      <c r="T57" s="58" t="n">
        <f aca="false">E57*'basic parameter'!$C$10</f>
        <v>2500</v>
      </c>
      <c r="U57" s="61" t="n">
        <f aca="false">('basic parameter'!$C$3*E57-L57)*N57+P57+S57-T57</f>
        <v>607.473475</v>
      </c>
    </row>
    <row r="58" customFormat="false" ht="14.25" hidden="false" customHeight="true" outlineLevel="0" collapsed="false">
      <c r="A58" s="1" t="n">
        <v>57</v>
      </c>
      <c r="B58" s="1" t="s">
        <v>275</v>
      </c>
      <c r="C58" s="56" t="n">
        <v>46429</v>
      </c>
      <c r="D58" s="1" t="s">
        <v>138</v>
      </c>
      <c r="E58" s="57" t="n">
        <v>500</v>
      </c>
      <c r="F58" s="1" t="s">
        <v>16</v>
      </c>
      <c r="G58" s="1" t="n">
        <v>1.96</v>
      </c>
      <c r="H58" s="57" t="n">
        <v>105</v>
      </c>
      <c r="I58" s="1" t="s">
        <v>135</v>
      </c>
      <c r="J58" s="1" t="n">
        <v>80</v>
      </c>
      <c r="K58" s="58" t="n">
        <v>394216</v>
      </c>
      <c r="L58" s="59" t="n">
        <f aca="false">IF(G58&lt;&gt;"",E58*G58,E58*'basic parameter'!$C$3)</f>
        <v>980</v>
      </c>
      <c r="M58" s="59" t="n">
        <f aca="false">L58-(H58*'basic parameter'!$C$12)</f>
        <v>948.5</v>
      </c>
      <c r="N58" s="60" t="n">
        <f aca="false">'basic parameter'!$C$2*'basic parameter'!$C$6</f>
        <v>37.8505305</v>
      </c>
      <c r="O58" s="58" t="n">
        <f aca="false">M58*N58</f>
        <v>35901.22817925</v>
      </c>
      <c r="P58" s="58" t="n">
        <f aca="false">IF(I58="Y",M58*J58%*'basic parameter'!$C$7*'basic parameter'!$C$9,0)</f>
        <v>8422.68</v>
      </c>
      <c r="Q58" s="58" t="n">
        <f aca="false">MAX(O58-P58,0)</f>
        <v>27478.54817925</v>
      </c>
      <c r="R58" s="1" t="str">
        <f aca="false">IF(K58&gt;='basic parameter'!$C$8,"Y","N")</f>
        <v>Y</v>
      </c>
      <c r="S58" s="58" t="n">
        <f aca="false">IF(R58="Y",'basic parameter'!$C$11,0)</f>
        <v>5000</v>
      </c>
      <c r="T58" s="58" t="n">
        <f aca="false">E58*'basic parameter'!$C$10</f>
        <v>1250</v>
      </c>
      <c r="U58" s="61" t="n">
        <f aca="false">('basic parameter'!$C$3*E58-L58)*N58+P58+S58-T58</f>
        <v>9144.63756</v>
      </c>
    </row>
    <row r="59" customFormat="false" ht="14.25" hidden="false" customHeight="true" outlineLevel="0" collapsed="false">
      <c r="A59" s="1" t="n">
        <v>58</v>
      </c>
      <c r="B59" s="1" t="s">
        <v>276</v>
      </c>
      <c r="C59" s="56" t="n">
        <v>46428</v>
      </c>
      <c r="D59" s="1" t="s">
        <v>158</v>
      </c>
      <c r="E59" s="57" t="n">
        <v>1000</v>
      </c>
      <c r="F59" s="1" t="s">
        <v>214</v>
      </c>
      <c r="G59" s="1" t="n">
        <v>0.45</v>
      </c>
      <c r="H59" s="57" t="n">
        <v>93</v>
      </c>
      <c r="I59" s="1" t="s">
        <v>135</v>
      </c>
      <c r="J59" s="1" t="n">
        <v>80</v>
      </c>
      <c r="K59" s="58" t="n">
        <v>932952</v>
      </c>
      <c r="L59" s="59" t="n">
        <f aca="false">IF(G59&lt;&gt;"",E59*G59,E59*'basic parameter'!$C$3)</f>
        <v>450</v>
      </c>
      <c r="M59" s="59" t="n">
        <f aca="false">L59-(H59*'basic parameter'!$C$12)</f>
        <v>422.1</v>
      </c>
      <c r="N59" s="60" t="n">
        <f aca="false">'basic parameter'!$C$2*'basic parameter'!$C$6</f>
        <v>37.8505305</v>
      </c>
      <c r="O59" s="58" t="n">
        <f aca="false">M59*N59</f>
        <v>15976.70892405</v>
      </c>
      <c r="P59" s="58" t="n">
        <f aca="false">IF(I59="Y",M59*J59%*'basic parameter'!$C$7*'basic parameter'!$C$9,0)</f>
        <v>3748.248</v>
      </c>
      <c r="Q59" s="58" t="n">
        <f aca="false">MAX(O59-P59,0)</f>
        <v>12228.46092405</v>
      </c>
      <c r="R59" s="1" t="str">
        <f aca="false">IF(K59&gt;='basic parameter'!$C$8,"Y","N")</f>
        <v>Y</v>
      </c>
      <c r="S59" s="58" t="n">
        <f aca="false">IF(R59="Y",'basic parameter'!$C$11,0)</f>
        <v>5000</v>
      </c>
      <c r="T59" s="58" t="n">
        <f aca="false">E59*'basic parameter'!$C$10</f>
        <v>2500</v>
      </c>
      <c r="U59" s="61" t="n">
        <f aca="false">('basic parameter'!$C$3*E59-L59)*N59+P59+S59-T59</f>
        <v>57346.464175</v>
      </c>
    </row>
    <row r="60" customFormat="false" ht="14.25" hidden="false" customHeight="true" outlineLevel="0" collapsed="false">
      <c r="A60" s="1" t="n">
        <v>59</v>
      </c>
      <c r="B60" s="1" t="s">
        <v>277</v>
      </c>
      <c r="C60" s="56" t="n">
        <v>46455</v>
      </c>
      <c r="D60" s="1" t="s">
        <v>150</v>
      </c>
      <c r="E60" s="57" t="n">
        <v>1250</v>
      </c>
      <c r="F60" s="1" t="s">
        <v>16</v>
      </c>
      <c r="G60" s="1" t="n">
        <v>2.37</v>
      </c>
      <c r="H60" s="57" t="n">
        <v>302</v>
      </c>
      <c r="I60" s="1" t="s">
        <v>24</v>
      </c>
      <c r="J60" s="1" t="n">
        <v>0</v>
      </c>
      <c r="K60" s="58" t="n">
        <v>1241638</v>
      </c>
      <c r="L60" s="59" t="n">
        <f aca="false">IF(G60&lt;&gt;"",E60*G60,E60*'basic parameter'!$C$3)</f>
        <v>2962.5</v>
      </c>
      <c r="M60" s="59" t="n">
        <f aca="false">L60-(H60*'basic parameter'!$C$12)</f>
        <v>2871.9</v>
      </c>
      <c r="N60" s="60" t="n">
        <f aca="false">'basic parameter'!$C$2*'basic parameter'!$C$6</f>
        <v>37.8505305</v>
      </c>
      <c r="O60" s="58" t="n">
        <f aca="false">M60*N60</f>
        <v>108702.93854295</v>
      </c>
      <c r="P60" s="58" t="n">
        <f aca="false">IF(I60="Y",M60*J60%*'basic parameter'!$C$7*'basic parameter'!$C$9,0)</f>
        <v>0</v>
      </c>
      <c r="Q60" s="58" t="n">
        <f aca="false">MAX(O60-P60,0)</f>
        <v>108702.93854295</v>
      </c>
      <c r="R60" s="1" t="str">
        <f aca="false">IF(K60&gt;='basic parameter'!$C$8,"Y","N")</f>
        <v>Y</v>
      </c>
      <c r="S60" s="58" t="n">
        <f aca="false">IF(R60="Y",'basic parameter'!$C$11,0)</f>
        <v>5000</v>
      </c>
      <c r="T60" s="58" t="n">
        <f aca="false">E60*'basic parameter'!$C$10</f>
        <v>3125</v>
      </c>
      <c r="U60" s="61" t="n">
        <f aca="false">('basic parameter'!$C$3*E60-L60)*N60+P60+S60-T60</f>
        <v>-25093.50298125</v>
      </c>
    </row>
    <row r="61" customFormat="false" ht="14.25" hidden="false" customHeight="true" outlineLevel="0" collapsed="false">
      <c r="A61" s="1" t="n">
        <v>60</v>
      </c>
      <c r="B61" s="1" t="s">
        <v>278</v>
      </c>
      <c r="C61" s="56" t="n">
        <v>46438</v>
      </c>
      <c r="D61" s="1" t="s">
        <v>10</v>
      </c>
      <c r="E61" s="57" t="n">
        <v>3000</v>
      </c>
      <c r="F61" s="1" t="s">
        <v>214</v>
      </c>
      <c r="G61" s="1" t="n">
        <v>2.1</v>
      </c>
      <c r="H61" s="57" t="n">
        <v>705</v>
      </c>
      <c r="I61" s="1" t="s">
        <v>24</v>
      </c>
      <c r="J61" s="1" t="n">
        <v>0</v>
      </c>
      <c r="K61" s="58" t="n">
        <v>2703918</v>
      </c>
      <c r="L61" s="59" t="n">
        <f aca="false">IF(G61&lt;&gt;"",E61*G61,E61*'basic parameter'!$C$3)</f>
        <v>6300</v>
      </c>
      <c r="M61" s="59" t="n">
        <f aca="false">L61-(H61*'basic parameter'!$C$12)</f>
        <v>6088.5</v>
      </c>
      <c r="N61" s="60" t="n">
        <f aca="false">'basic parameter'!$C$2*'basic parameter'!$C$6</f>
        <v>37.8505305</v>
      </c>
      <c r="O61" s="58" t="n">
        <f aca="false">M61*N61</f>
        <v>230452.95494925</v>
      </c>
      <c r="P61" s="58" t="n">
        <f aca="false">IF(I61="Y",M61*J61%*'basic parameter'!$C$7*'basic parameter'!$C$9,0)</f>
        <v>0</v>
      </c>
      <c r="Q61" s="58" t="n">
        <f aca="false">MAX(O61-P61,0)</f>
        <v>230452.95494925</v>
      </c>
      <c r="R61" s="1" t="str">
        <f aca="false">IF(K61&gt;='basic parameter'!$C$8,"Y","N")</f>
        <v>Y</v>
      </c>
      <c r="S61" s="58" t="n">
        <f aca="false">IF(R61="Y",'basic parameter'!$C$11,0)</f>
        <v>5000</v>
      </c>
      <c r="T61" s="58" t="n">
        <f aca="false">E61*'basic parameter'!$C$10</f>
        <v>7500</v>
      </c>
      <c r="U61" s="61" t="n">
        <f aca="false">('basic parameter'!$C$3*E61-L61)*N61+P61+S61-T61</f>
        <v>-36565.47745</v>
      </c>
    </row>
    <row r="62" customFormat="false" ht="14.25" hidden="false" customHeight="true" outlineLevel="0" collapsed="false">
      <c r="A62" s="1" t="n">
        <v>61</v>
      </c>
      <c r="B62" s="1" t="s">
        <v>279</v>
      </c>
      <c r="C62" s="56" t="n">
        <v>46388</v>
      </c>
      <c r="D62" s="1" t="s">
        <v>156</v>
      </c>
      <c r="E62" s="57" t="n">
        <v>400</v>
      </c>
      <c r="F62" s="1" t="s">
        <v>214</v>
      </c>
      <c r="G62" s="1" t="n">
        <v>0.39</v>
      </c>
      <c r="H62" s="57" t="n">
        <v>59</v>
      </c>
      <c r="I62" s="1" t="s">
        <v>135</v>
      </c>
      <c r="J62" s="1" t="n">
        <v>80</v>
      </c>
      <c r="K62" s="58" t="n">
        <v>324264</v>
      </c>
      <c r="L62" s="59" t="n">
        <f aca="false">IF(G62&lt;&gt;"",E62*G62,E62*'basic parameter'!$C$3)</f>
        <v>156</v>
      </c>
      <c r="M62" s="59" t="n">
        <f aca="false">L62-(H62*'basic parameter'!$C$12)</f>
        <v>138.3</v>
      </c>
      <c r="N62" s="60" t="n">
        <f aca="false">'basic parameter'!$C$2*'basic parameter'!$C$6</f>
        <v>37.8505305</v>
      </c>
      <c r="O62" s="58" t="n">
        <f aca="false">M62*N62</f>
        <v>5234.72836815</v>
      </c>
      <c r="P62" s="58" t="n">
        <f aca="false">IF(I62="Y",M62*J62%*'basic parameter'!$C$7*'basic parameter'!$C$9,0)</f>
        <v>1228.104</v>
      </c>
      <c r="Q62" s="58" t="n">
        <f aca="false">MAX(O62-P62,0)</f>
        <v>4006.62436815</v>
      </c>
      <c r="R62" s="1" t="str">
        <f aca="false">IF(K62&gt;='basic parameter'!$C$8,"Y","N")</f>
        <v>Y</v>
      </c>
      <c r="S62" s="58" t="n">
        <f aca="false">IF(R62="Y",'basic parameter'!$C$11,0)</f>
        <v>5000</v>
      </c>
      <c r="T62" s="58" t="n">
        <f aca="false">E62*'basic parameter'!$C$10</f>
        <v>1000</v>
      </c>
      <c r="U62" s="61" t="n">
        <f aca="false">('basic parameter'!$C$3*E62-L62)*N62+P62+S62-T62</f>
        <v>26575.803202</v>
      </c>
    </row>
    <row r="63" customFormat="false" ht="14.25" hidden="false" customHeight="true" outlineLevel="0" collapsed="false">
      <c r="A63" s="1" t="n">
        <v>62</v>
      </c>
      <c r="B63" s="1" t="s">
        <v>280</v>
      </c>
      <c r="C63" s="56" t="n">
        <v>46403</v>
      </c>
      <c r="D63" s="1" t="s">
        <v>158</v>
      </c>
      <c r="E63" s="57" t="n">
        <v>2500</v>
      </c>
      <c r="F63" s="1" t="s">
        <v>214</v>
      </c>
      <c r="G63" s="1" t="n">
        <v>0.43</v>
      </c>
      <c r="H63" s="57" t="n">
        <v>611</v>
      </c>
      <c r="I63" s="1" t="s">
        <v>135</v>
      </c>
      <c r="J63" s="1" t="n">
        <v>80</v>
      </c>
      <c r="K63" s="58" t="n">
        <v>2169305</v>
      </c>
      <c r="L63" s="59" t="n">
        <f aca="false">IF(G63&lt;&gt;"",E63*G63,E63*'basic parameter'!$C$3)</f>
        <v>1075</v>
      </c>
      <c r="M63" s="59" t="n">
        <f aca="false">L63-(H63*'basic parameter'!$C$12)</f>
        <v>891.7</v>
      </c>
      <c r="N63" s="60" t="n">
        <f aca="false">'basic parameter'!$C$2*'basic parameter'!$C$6</f>
        <v>37.8505305</v>
      </c>
      <c r="O63" s="58" t="n">
        <f aca="false">M63*N63</f>
        <v>33751.31804685</v>
      </c>
      <c r="P63" s="58" t="n">
        <f aca="false">IF(I63="Y",M63*J63%*'basic parameter'!$C$7*'basic parameter'!$C$9,0)</f>
        <v>7918.296</v>
      </c>
      <c r="Q63" s="58" t="n">
        <f aca="false">MAX(O63-P63,0)</f>
        <v>25833.02204685</v>
      </c>
      <c r="R63" s="1" t="str">
        <f aca="false">IF(K63&gt;='basic parameter'!$C$8,"Y","N")</f>
        <v>Y</v>
      </c>
      <c r="S63" s="58" t="n">
        <f aca="false">IF(R63="Y",'basic parameter'!$C$11,0)</f>
        <v>5000</v>
      </c>
      <c r="T63" s="58" t="n">
        <f aca="false">E63*'basic parameter'!$C$10</f>
        <v>6250</v>
      </c>
      <c r="U63" s="61" t="n">
        <f aca="false">('basic parameter'!$C$3*E63-L63)*N63+P63+S63-T63</f>
        <v>136306.3629625</v>
      </c>
    </row>
    <row r="64" customFormat="false" ht="14.25" hidden="false" customHeight="true" outlineLevel="0" collapsed="false">
      <c r="A64" s="1" t="n">
        <v>63</v>
      </c>
      <c r="B64" s="1" t="s">
        <v>281</v>
      </c>
      <c r="C64" s="56" t="n">
        <v>46427</v>
      </c>
      <c r="D64" s="1" t="s">
        <v>138</v>
      </c>
      <c r="E64" s="57" t="n">
        <v>2000</v>
      </c>
      <c r="F64" s="1" t="s">
        <v>214</v>
      </c>
      <c r="G64" s="1" t="n">
        <v>0.47</v>
      </c>
      <c r="H64" s="57" t="n">
        <v>70</v>
      </c>
      <c r="I64" s="1" t="s">
        <v>135</v>
      </c>
      <c r="J64" s="1" t="n">
        <v>80</v>
      </c>
      <c r="K64" s="58" t="n">
        <v>1782923</v>
      </c>
      <c r="L64" s="59" t="n">
        <f aca="false">IF(G64&lt;&gt;"",E64*G64,E64*'basic parameter'!$C$3)</f>
        <v>940</v>
      </c>
      <c r="M64" s="59" t="n">
        <f aca="false">L64-(H64*'basic parameter'!$C$12)</f>
        <v>919</v>
      </c>
      <c r="N64" s="60" t="n">
        <f aca="false">'basic parameter'!$C$2*'basic parameter'!$C$6</f>
        <v>37.8505305</v>
      </c>
      <c r="O64" s="58" t="n">
        <f aca="false">M64*N64</f>
        <v>34784.6375295</v>
      </c>
      <c r="P64" s="58" t="n">
        <f aca="false">IF(I64="Y",M64*J64%*'basic parameter'!$C$7*'basic parameter'!$C$9,0)</f>
        <v>8160.72</v>
      </c>
      <c r="Q64" s="58" t="n">
        <f aca="false">MAX(O64-P64,0)</f>
        <v>26623.9175295</v>
      </c>
      <c r="R64" s="1" t="str">
        <f aca="false">IF(K64&gt;='basic parameter'!$C$8,"Y","N")</f>
        <v>Y</v>
      </c>
      <c r="S64" s="58" t="n">
        <f aca="false">IF(R64="Y",'basic parameter'!$C$11,0)</f>
        <v>5000</v>
      </c>
      <c r="T64" s="58" t="n">
        <f aca="false">E64*'basic parameter'!$C$10</f>
        <v>5000</v>
      </c>
      <c r="U64" s="61" t="n">
        <f aca="false">('basic parameter'!$C$3*E64-L64)*N64+P64+S64-T64</f>
        <v>108843.13113</v>
      </c>
    </row>
    <row r="65" customFormat="false" ht="14.25" hidden="false" customHeight="true" outlineLevel="0" collapsed="false">
      <c r="A65" s="1" t="n">
        <v>64</v>
      </c>
      <c r="B65" s="1" t="s">
        <v>282</v>
      </c>
      <c r="C65" s="56" t="n">
        <v>46502</v>
      </c>
      <c r="D65" s="1" t="s">
        <v>160</v>
      </c>
      <c r="E65" s="57" t="n">
        <v>1000</v>
      </c>
      <c r="F65" s="1" t="s">
        <v>16</v>
      </c>
      <c r="G65" s="1" t="n">
        <v>1.86</v>
      </c>
      <c r="H65" s="57" t="n">
        <v>209</v>
      </c>
      <c r="I65" s="1" t="s">
        <v>135</v>
      </c>
      <c r="J65" s="1" t="n">
        <v>80</v>
      </c>
      <c r="K65" s="58" t="n">
        <v>876077</v>
      </c>
      <c r="L65" s="59" t="n">
        <f aca="false">IF(G65&lt;&gt;"",E65*G65,E65*'basic parameter'!$C$3)</f>
        <v>1860</v>
      </c>
      <c r="M65" s="59" t="n">
        <f aca="false">L65-(H65*'basic parameter'!$C$12)</f>
        <v>1797.3</v>
      </c>
      <c r="N65" s="60" t="n">
        <f aca="false">'basic parameter'!$C$2*'basic parameter'!$C$6</f>
        <v>37.8505305</v>
      </c>
      <c r="O65" s="58" t="n">
        <f aca="false">M65*N65</f>
        <v>68028.75846765</v>
      </c>
      <c r="P65" s="58" t="n">
        <f aca="false">IF(I65="Y",M65*J65%*'basic parameter'!$C$7*'basic parameter'!$C$9,0)</f>
        <v>15960.024</v>
      </c>
      <c r="Q65" s="58" t="n">
        <f aca="false">MAX(O65-P65,0)</f>
        <v>52068.73446765</v>
      </c>
      <c r="R65" s="1" t="str">
        <f aca="false">IF(K65&gt;='basic parameter'!$C$8,"Y","N")</f>
        <v>Y</v>
      </c>
      <c r="S65" s="58" t="n">
        <f aca="false">IF(R65="Y",'basic parameter'!$C$11,0)</f>
        <v>5000</v>
      </c>
      <c r="T65" s="58" t="n">
        <f aca="false">E65*'basic parameter'!$C$10</f>
        <v>2500</v>
      </c>
      <c r="U65" s="61" t="n">
        <f aca="false">('basic parameter'!$C$3*E65-L65)*N65+P65+S65-T65</f>
        <v>16188.99217</v>
      </c>
    </row>
    <row r="66" customFormat="false" ht="14.25" hidden="false" customHeight="true" outlineLevel="0" collapsed="false">
      <c r="A66" s="1" t="n">
        <v>65</v>
      </c>
      <c r="B66" s="1" t="s">
        <v>283</v>
      </c>
      <c r="C66" s="56" t="n">
        <v>46426</v>
      </c>
      <c r="D66" s="1" t="s">
        <v>158</v>
      </c>
      <c r="E66" s="57" t="n">
        <v>500</v>
      </c>
      <c r="F66" s="1" t="s">
        <v>214</v>
      </c>
      <c r="G66" s="1" t="n">
        <v>0.45</v>
      </c>
      <c r="H66" s="57" t="n">
        <v>112</v>
      </c>
      <c r="I66" s="1" t="s">
        <v>135</v>
      </c>
      <c r="J66" s="1" t="n">
        <v>80</v>
      </c>
      <c r="K66" s="58" t="n">
        <v>455426</v>
      </c>
      <c r="L66" s="59" t="n">
        <f aca="false">IF(G66&lt;&gt;"",E66*G66,E66*'basic parameter'!$C$3)</f>
        <v>225</v>
      </c>
      <c r="M66" s="59" t="n">
        <f aca="false">L66-(H66*'basic parameter'!$C$12)</f>
        <v>191.4</v>
      </c>
      <c r="N66" s="60" t="n">
        <f aca="false">'basic parameter'!$C$2*'basic parameter'!$C$6</f>
        <v>37.8505305</v>
      </c>
      <c r="O66" s="58" t="n">
        <f aca="false">M66*N66</f>
        <v>7244.5915377</v>
      </c>
      <c r="P66" s="58" t="n">
        <f aca="false">IF(I66="Y",M66*J66%*'basic parameter'!$C$7*'basic parameter'!$C$9,0)</f>
        <v>1699.632</v>
      </c>
      <c r="Q66" s="58" t="n">
        <f aca="false">MAX(O66-P66,0)</f>
        <v>5544.9595377</v>
      </c>
      <c r="R66" s="1" t="str">
        <f aca="false">IF(K66&gt;='basic parameter'!$C$8,"Y","N")</f>
        <v>Y</v>
      </c>
      <c r="S66" s="58" t="n">
        <f aca="false">IF(R66="Y",'basic parameter'!$C$11,0)</f>
        <v>5000</v>
      </c>
      <c r="T66" s="58" t="n">
        <f aca="false">E66*'basic parameter'!$C$10</f>
        <v>1250</v>
      </c>
      <c r="U66" s="61" t="n">
        <f aca="false">('basic parameter'!$C$3*E66-L66)*N66+P66+S66-T66</f>
        <v>30998.7400875</v>
      </c>
    </row>
    <row r="67" customFormat="false" ht="14.25" hidden="false" customHeight="true" outlineLevel="0" collapsed="false">
      <c r="A67" s="1" t="n">
        <v>66</v>
      </c>
      <c r="B67" s="1" t="s">
        <v>284</v>
      </c>
      <c r="C67" s="56" t="n">
        <v>46408</v>
      </c>
      <c r="D67" s="1" t="s">
        <v>158</v>
      </c>
      <c r="E67" s="57" t="n">
        <v>1250</v>
      </c>
      <c r="F67" s="1" t="s">
        <v>16</v>
      </c>
      <c r="G67" s="1" t="n">
        <v>1.94</v>
      </c>
      <c r="H67" s="57" t="n">
        <v>228</v>
      </c>
      <c r="I67" s="1" t="s">
        <v>135</v>
      </c>
      <c r="J67" s="1" t="n">
        <v>80</v>
      </c>
      <c r="K67" s="58" t="n">
        <v>1193701</v>
      </c>
      <c r="L67" s="59" t="n">
        <f aca="false">IF(G67&lt;&gt;"",E67*G67,E67*'basic parameter'!$C$3)</f>
        <v>2425</v>
      </c>
      <c r="M67" s="59" t="n">
        <f aca="false">L67-(H67*'basic parameter'!$C$12)</f>
        <v>2356.6</v>
      </c>
      <c r="N67" s="60" t="n">
        <f aca="false">'basic parameter'!$C$2*'basic parameter'!$C$6</f>
        <v>37.8505305</v>
      </c>
      <c r="O67" s="58" t="n">
        <f aca="false">M67*N67</f>
        <v>89198.5601763</v>
      </c>
      <c r="P67" s="58" t="n">
        <f aca="false">IF(I67="Y",M67*J67%*'basic parameter'!$C$7*'basic parameter'!$C$9,0)</f>
        <v>20926.608</v>
      </c>
      <c r="Q67" s="58" t="n">
        <f aca="false">MAX(O67-P67,0)</f>
        <v>68271.9521763</v>
      </c>
      <c r="R67" s="1" t="str">
        <f aca="false">IF(K67&gt;='basic parameter'!$C$8,"Y","N")</f>
        <v>Y</v>
      </c>
      <c r="S67" s="58" t="n">
        <f aca="false">IF(R67="Y",'basic parameter'!$C$11,0)</f>
        <v>5000</v>
      </c>
      <c r="T67" s="58" t="n">
        <f aca="false">E67*'basic parameter'!$C$10</f>
        <v>3125</v>
      </c>
      <c r="U67" s="61" t="n">
        <f aca="false">('basic parameter'!$C$3*E67-L67)*N67+P67+S67-T67</f>
        <v>16177.7651625</v>
      </c>
    </row>
    <row r="68" customFormat="false" ht="14.25" hidden="false" customHeight="true" outlineLevel="0" collapsed="false">
      <c r="A68" s="1" t="n">
        <v>67</v>
      </c>
      <c r="B68" s="1" t="s">
        <v>285</v>
      </c>
      <c r="C68" s="56" t="n">
        <v>46463</v>
      </c>
      <c r="D68" s="1" t="s">
        <v>138</v>
      </c>
      <c r="E68" s="57" t="n">
        <v>1250</v>
      </c>
      <c r="F68" s="1" t="s">
        <v>16</v>
      </c>
      <c r="G68" s="1" t="n">
        <v>1.97</v>
      </c>
      <c r="H68" s="57" t="n">
        <v>24</v>
      </c>
      <c r="I68" s="1" t="s">
        <v>135</v>
      </c>
      <c r="J68" s="1" t="n">
        <v>80</v>
      </c>
      <c r="K68" s="58" t="n">
        <v>971975</v>
      </c>
      <c r="L68" s="59" t="n">
        <f aca="false">IF(G68&lt;&gt;"",E68*G68,E68*'basic parameter'!$C$3)</f>
        <v>2462.5</v>
      </c>
      <c r="M68" s="59" t="n">
        <f aca="false">L68-(H68*'basic parameter'!$C$12)</f>
        <v>2455.3</v>
      </c>
      <c r="N68" s="60" t="n">
        <f aca="false">'basic parameter'!$C$2*'basic parameter'!$C$6</f>
        <v>37.8505305</v>
      </c>
      <c r="O68" s="58" t="n">
        <f aca="false">M68*N68</f>
        <v>92934.40753665</v>
      </c>
      <c r="P68" s="58" t="n">
        <f aca="false">IF(I68="Y",M68*J68%*'basic parameter'!$C$7*'basic parameter'!$C$9,0)</f>
        <v>21803.064</v>
      </c>
      <c r="Q68" s="58" t="n">
        <f aca="false">MAX(O68-P68,0)</f>
        <v>71131.34353665</v>
      </c>
      <c r="R68" s="1" t="str">
        <f aca="false">IF(K68&gt;='basic parameter'!$C$8,"Y","N")</f>
        <v>Y</v>
      </c>
      <c r="S68" s="58" t="n">
        <f aca="false">IF(R68="Y",'basic parameter'!$C$11,0)</f>
        <v>5000</v>
      </c>
      <c r="T68" s="58" t="n">
        <f aca="false">E68*'basic parameter'!$C$10</f>
        <v>3125</v>
      </c>
      <c r="U68" s="61" t="n">
        <f aca="false">('basic parameter'!$C$3*E68-L68)*N68+P68+S68-T68</f>
        <v>15634.82626875</v>
      </c>
    </row>
    <row r="69" customFormat="false" ht="14.25" hidden="false" customHeight="true" outlineLevel="0" collapsed="false">
      <c r="A69" s="1" t="n">
        <v>68</v>
      </c>
      <c r="B69" s="1" t="s">
        <v>286</v>
      </c>
      <c r="C69" s="56" t="n">
        <v>46399</v>
      </c>
      <c r="D69" s="1" t="s">
        <v>154</v>
      </c>
      <c r="E69" s="57" t="n">
        <v>3000</v>
      </c>
      <c r="F69" s="1" t="s">
        <v>16</v>
      </c>
      <c r="G69" s="1" t="n">
        <v>1.73</v>
      </c>
      <c r="H69" s="57" t="n">
        <v>726</v>
      </c>
      <c r="I69" s="1" t="s">
        <v>135</v>
      </c>
      <c r="J69" s="1" t="n">
        <v>80</v>
      </c>
      <c r="K69" s="58" t="n">
        <v>2537535</v>
      </c>
      <c r="L69" s="59" t="n">
        <f aca="false">IF(G69&lt;&gt;"",E69*G69,E69*'basic parameter'!$C$3)</f>
        <v>5190</v>
      </c>
      <c r="M69" s="59" t="n">
        <f aca="false">L69-(H69*'basic parameter'!$C$12)</f>
        <v>4972.2</v>
      </c>
      <c r="N69" s="60" t="n">
        <f aca="false">'basic parameter'!$C$2*'basic parameter'!$C$6</f>
        <v>37.8505305</v>
      </c>
      <c r="O69" s="58" t="n">
        <f aca="false">M69*N69</f>
        <v>188200.4077521</v>
      </c>
      <c r="P69" s="58" t="n">
        <f aca="false">IF(I69="Y",M69*J69%*'basic parameter'!$C$7*'basic parameter'!$C$9,0)</f>
        <v>44153.136</v>
      </c>
      <c r="Q69" s="58" t="n">
        <f aca="false">MAX(O69-P69,0)</f>
        <v>144047.2717521</v>
      </c>
      <c r="R69" s="1" t="str">
        <f aca="false">IF(K69&gt;='basic parameter'!$C$8,"Y","N")</f>
        <v>Y</v>
      </c>
      <c r="S69" s="58" t="n">
        <f aca="false">IF(R69="Y",'basic parameter'!$C$11,0)</f>
        <v>5000</v>
      </c>
      <c r="T69" s="58" t="n">
        <f aca="false">E69*'basic parameter'!$C$10</f>
        <v>7500</v>
      </c>
      <c r="U69" s="61" t="n">
        <f aca="false">('basic parameter'!$C$3*E69-L69)*N69+P69+S69-T69</f>
        <v>49601.747405</v>
      </c>
    </row>
    <row r="70" customFormat="false" ht="14.25" hidden="false" customHeight="true" outlineLevel="0" collapsed="false">
      <c r="A70" s="1" t="n">
        <v>69</v>
      </c>
      <c r="B70" s="1" t="s">
        <v>287</v>
      </c>
      <c r="C70" s="56" t="n">
        <v>46453</v>
      </c>
      <c r="D70" s="1" t="s">
        <v>138</v>
      </c>
      <c r="E70" s="57" t="n">
        <v>1250</v>
      </c>
      <c r="F70" s="1" t="s">
        <v>16</v>
      </c>
      <c r="G70" s="1" t="n">
        <v>2.04</v>
      </c>
      <c r="H70" s="57" t="n">
        <v>225</v>
      </c>
      <c r="I70" s="1" t="s">
        <v>135</v>
      </c>
      <c r="J70" s="1" t="n">
        <v>80</v>
      </c>
      <c r="K70" s="58" t="n">
        <v>979580</v>
      </c>
      <c r="L70" s="59" t="n">
        <f aca="false">IF(G70&lt;&gt;"",E70*G70,E70*'basic parameter'!$C$3)</f>
        <v>2550</v>
      </c>
      <c r="M70" s="59" t="n">
        <f aca="false">L70-(H70*'basic parameter'!$C$12)</f>
        <v>2482.5</v>
      </c>
      <c r="N70" s="60" t="n">
        <f aca="false">'basic parameter'!$C$2*'basic parameter'!$C$6</f>
        <v>37.8505305</v>
      </c>
      <c r="O70" s="58" t="n">
        <f aca="false">M70*N70</f>
        <v>93963.94196625</v>
      </c>
      <c r="P70" s="58" t="n">
        <f aca="false">IF(I70="Y",M70*J70%*'basic parameter'!$C$7*'basic parameter'!$C$9,0)</f>
        <v>22044.6</v>
      </c>
      <c r="Q70" s="58" t="n">
        <f aca="false">MAX(O70-P70,0)</f>
        <v>71919.34196625</v>
      </c>
      <c r="R70" s="1" t="str">
        <f aca="false">IF(K70&gt;='basic parameter'!$C$8,"Y","N")</f>
        <v>Y</v>
      </c>
      <c r="S70" s="58" t="n">
        <f aca="false">IF(R70="Y",'basic parameter'!$C$11,0)</f>
        <v>5000</v>
      </c>
      <c r="T70" s="58" t="n">
        <f aca="false">E70*'basic parameter'!$C$10</f>
        <v>3125</v>
      </c>
      <c r="U70" s="61" t="n">
        <f aca="false">('basic parameter'!$C$3*E70-L70)*N70+P70+S70-T70</f>
        <v>12564.44085</v>
      </c>
    </row>
    <row r="71" customFormat="false" ht="14.25" hidden="false" customHeight="true" outlineLevel="0" collapsed="false">
      <c r="A71" s="1" t="n">
        <v>70</v>
      </c>
      <c r="B71" s="1" t="s">
        <v>288</v>
      </c>
      <c r="C71" s="56" t="n">
        <v>46401</v>
      </c>
      <c r="D71" s="1" t="s">
        <v>138</v>
      </c>
      <c r="E71" s="57" t="n">
        <v>3000</v>
      </c>
      <c r="F71" s="1" t="s">
        <v>16</v>
      </c>
      <c r="G71" s="1" t="n">
        <v>2.04</v>
      </c>
      <c r="H71" s="57" t="n">
        <v>247</v>
      </c>
      <c r="I71" s="1" t="s">
        <v>135</v>
      </c>
      <c r="J71" s="1" t="n">
        <v>80</v>
      </c>
      <c r="K71" s="58" t="n">
        <v>2321170</v>
      </c>
      <c r="L71" s="59" t="n">
        <f aca="false">IF(G71&lt;&gt;"",E71*G71,E71*'basic parameter'!$C$3)</f>
        <v>6120</v>
      </c>
      <c r="M71" s="59" t="n">
        <f aca="false">L71-(H71*'basic parameter'!$C$12)</f>
        <v>6045.9</v>
      </c>
      <c r="N71" s="60" t="n">
        <f aca="false">'basic parameter'!$C$2*'basic parameter'!$C$6</f>
        <v>37.8505305</v>
      </c>
      <c r="O71" s="58" t="n">
        <f aca="false">M71*N71</f>
        <v>228840.52234995</v>
      </c>
      <c r="P71" s="58" t="n">
        <f aca="false">IF(I71="Y",M71*J71%*'basic parameter'!$C$7*'basic parameter'!$C$9,0)</f>
        <v>53687.592</v>
      </c>
      <c r="Q71" s="58" t="n">
        <f aca="false">MAX(O71-P71,0)</f>
        <v>175152.93034995</v>
      </c>
      <c r="R71" s="1" t="str">
        <f aca="false">IF(K71&gt;='basic parameter'!$C$8,"Y","N")</f>
        <v>Y</v>
      </c>
      <c r="S71" s="58" t="n">
        <f aca="false">IF(R71="Y",'basic parameter'!$C$11,0)</f>
        <v>5000</v>
      </c>
      <c r="T71" s="58" t="n">
        <f aca="false">E71*'basic parameter'!$C$10</f>
        <v>7500</v>
      </c>
      <c r="U71" s="61" t="n">
        <f aca="false">('basic parameter'!$C$3*E71-L71)*N71+P71+S71-T71</f>
        <v>23935.21004</v>
      </c>
    </row>
    <row r="72" customFormat="false" ht="14.25" hidden="false" customHeight="true" outlineLevel="0" collapsed="false">
      <c r="A72" s="1" t="n">
        <v>71</v>
      </c>
      <c r="B72" s="1" t="s">
        <v>289</v>
      </c>
      <c r="C72" s="56" t="n">
        <v>46492</v>
      </c>
      <c r="D72" s="1" t="s">
        <v>144</v>
      </c>
      <c r="E72" s="57" t="n">
        <v>1500</v>
      </c>
      <c r="F72" s="1" t="s">
        <v>16</v>
      </c>
      <c r="G72" s="1" t="n">
        <v>1.97</v>
      </c>
      <c r="H72" s="57" t="n">
        <v>347</v>
      </c>
      <c r="I72" s="1" t="s">
        <v>135</v>
      </c>
      <c r="J72" s="1" t="n">
        <v>70</v>
      </c>
      <c r="K72" s="58" t="n">
        <v>1640882</v>
      </c>
      <c r="L72" s="59" t="n">
        <f aca="false">IF(G72&lt;&gt;"",E72*G72,E72*'basic parameter'!$C$3)</f>
        <v>2955</v>
      </c>
      <c r="M72" s="59" t="n">
        <f aca="false">L72-(H72*'basic parameter'!$C$12)</f>
        <v>2850.9</v>
      </c>
      <c r="N72" s="60" t="n">
        <f aca="false">'basic parameter'!$C$2*'basic parameter'!$C$6</f>
        <v>37.8505305</v>
      </c>
      <c r="O72" s="58" t="n">
        <f aca="false">M72*N72</f>
        <v>107908.07740245</v>
      </c>
      <c r="P72" s="58" t="n">
        <f aca="false">IF(I72="Y",M72*J72%*'basic parameter'!$C$7*'basic parameter'!$C$9,0)</f>
        <v>22151.493</v>
      </c>
      <c r="Q72" s="58" t="n">
        <f aca="false">MAX(O72-P72,0)</f>
        <v>85756.58440245</v>
      </c>
      <c r="R72" s="1" t="str">
        <f aca="false">IF(K72&gt;='basic parameter'!$C$8,"Y","N")</f>
        <v>Y</v>
      </c>
      <c r="S72" s="58" t="n">
        <f aca="false">IF(R72="Y",'basic parameter'!$C$11,0)</f>
        <v>5000</v>
      </c>
      <c r="T72" s="58" t="n">
        <f aca="false">E72*'basic parameter'!$C$10</f>
        <v>3750</v>
      </c>
      <c r="U72" s="61" t="n">
        <f aca="false">('basic parameter'!$C$3*E72-L72)*N72+P72+S72-T72</f>
        <v>13749.6077225</v>
      </c>
    </row>
    <row r="73" customFormat="false" ht="14.25" hidden="false" customHeight="true" outlineLevel="0" collapsed="false">
      <c r="A73" s="1" t="n">
        <v>72</v>
      </c>
      <c r="B73" s="1" t="s">
        <v>290</v>
      </c>
      <c r="C73" s="56" t="n">
        <v>46420</v>
      </c>
      <c r="D73" s="1" t="s">
        <v>158</v>
      </c>
      <c r="E73" s="57" t="n">
        <v>1000</v>
      </c>
      <c r="F73" s="1" t="s">
        <v>16</v>
      </c>
      <c r="G73" s="1" t="n">
        <v>1.91</v>
      </c>
      <c r="H73" s="57" t="n">
        <v>215</v>
      </c>
      <c r="I73" s="1" t="s">
        <v>135</v>
      </c>
      <c r="J73" s="1" t="n">
        <v>80</v>
      </c>
      <c r="K73" s="58" t="n">
        <v>992761</v>
      </c>
      <c r="L73" s="59" t="n">
        <f aca="false">IF(G73&lt;&gt;"",E73*G73,E73*'basic parameter'!$C$3)</f>
        <v>1910</v>
      </c>
      <c r="M73" s="59" t="n">
        <f aca="false">L73-(H73*'basic parameter'!$C$12)</f>
        <v>1845.5</v>
      </c>
      <c r="N73" s="60" t="n">
        <f aca="false">'basic parameter'!$C$2*'basic parameter'!$C$6</f>
        <v>37.8505305</v>
      </c>
      <c r="O73" s="58" t="n">
        <f aca="false">M73*N73</f>
        <v>69853.15403775</v>
      </c>
      <c r="P73" s="58" t="n">
        <f aca="false">IF(I73="Y",M73*J73%*'basic parameter'!$C$7*'basic parameter'!$C$9,0)</f>
        <v>16388.04</v>
      </c>
      <c r="Q73" s="58" t="n">
        <f aca="false">MAX(O73-P73,0)</f>
        <v>53465.11403775</v>
      </c>
      <c r="R73" s="1" t="str">
        <f aca="false">IF(K73&gt;='basic parameter'!$C$8,"Y","N")</f>
        <v>Y</v>
      </c>
      <c r="S73" s="58" t="n">
        <f aca="false">IF(R73="Y",'basic parameter'!$C$11,0)</f>
        <v>5000</v>
      </c>
      <c r="T73" s="58" t="n">
        <f aca="false">E73*'basic parameter'!$C$10</f>
        <v>2500</v>
      </c>
      <c r="U73" s="61" t="n">
        <f aca="false">('basic parameter'!$C$3*E73-L73)*N73+P73+S73-T73</f>
        <v>14724.481645</v>
      </c>
    </row>
    <row r="74" customFormat="false" ht="14.25" hidden="false" customHeight="true" outlineLevel="0" collapsed="false">
      <c r="A74" s="1" t="n">
        <v>73</v>
      </c>
      <c r="B74" s="1" t="s">
        <v>291</v>
      </c>
      <c r="C74" s="56" t="n">
        <v>46468</v>
      </c>
      <c r="D74" s="1" t="s">
        <v>10</v>
      </c>
      <c r="E74" s="57" t="n">
        <v>2500</v>
      </c>
      <c r="F74" s="1" t="s">
        <v>214</v>
      </c>
      <c r="G74" s="1" t="n">
        <v>2.17</v>
      </c>
      <c r="H74" s="57" t="n">
        <v>36</v>
      </c>
      <c r="I74" s="1" t="s">
        <v>24</v>
      </c>
      <c r="J74" s="1" t="n">
        <v>0</v>
      </c>
      <c r="K74" s="58" t="n">
        <v>2528639</v>
      </c>
      <c r="L74" s="59" t="n">
        <f aca="false">IF(G74&lt;&gt;"",E74*G74,E74*'basic parameter'!$C$3)</f>
        <v>5425</v>
      </c>
      <c r="M74" s="59" t="n">
        <f aca="false">L74-(H74*'basic parameter'!$C$12)</f>
        <v>5414.2</v>
      </c>
      <c r="N74" s="60" t="n">
        <f aca="false">'basic parameter'!$C$2*'basic parameter'!$C$6</f>
        <v>37.8505305</v>
      </c>
      <c r="O74" s="58" t="n">
        <f aca="false">M74*N74</f>
        <v>204930.3422331</v>
      </c>
      <c r="P74" s="58" t="n">
        <f aca="false">IF(I74="Y",M74*J74%*'basic parameter'!$C$7*'basic parameter'!$C$9,0)</f>
        <v>0</v>
      </c>
      <c r="Q74" s="58" t="n">
        <f aca="false">MAX(O74-P74,0)</f>
        <v>204930.3422331</v>
      </c>
      <c r="R74" s="1" t="str">
        <f aca="false">IF(K74&gt;='basic parameter'!$C$8,"Y","N")</f>
        <v>Y</v>
      </c>
      <c r="S74" s="58" t="n">
        <f aca="false">IF(R74="Y",'basic parameter'!$C$11,0)</f>
        <v>5000</v>
      </c>
      <c r="T74" s="58" t="n">
        <f aca="false">E74*'basic parameter'!$C$10</f>
        <v>6250</v>
      </c>
      <c r="U74" s="61" t="n">
        <f aca="false">('basic parameter'!$C$3*E74-L74)*N74+P74+S74-T74</f>
        <v>-36261.7407125</v>
      </c>
    </row>
    <row r="75" customFormat="false" ht="14.25" hidden="false" customHeight="true" outlineLevel="0" collapsed="false">
      <c r="A75" s="1" t="n">
        <v>74</v>
      </c>
      <c r="B75" s="1" t="s">
        <v>292</v>
      </c>
      <c r="C75" s="56" t="n">
        <v>46430</v>
      </c>
      <c r="D75" s="1" t="s">
        <v>10</v>
      </c>
      <c r="E75" s="57" t="n">
        <v>500</v>
      </c>
      <c r="F75" s="1" t="s">
        <v>16</v>
      </c>
      <c r="G75" s="1" t="n">
        <v>2.66</v>
      </c>
      <c r="H75" s="57" t="n">
        <v>66</v>
      </c>
      <c r="I75" s="1" t="s">
        <v>24</v>
      </c>
      <c r="J75" s="1" t="n">
        <v>0</v>
      </c>
      <c r="K75" s="58" t="n">
        <v>531604</v>
      </c>
      <c r="L75" s="59" t="n">
        <f aca="false">IF(G75&lt;&gt;"",E75*G75,E75*'basic parameter'!$C$3)</f>
        <v>1330</v>
      </c>
      <c r="M75" s="59" t="n">
        <f aca="false">L75-(H75*'basic parameter'!$C$12)</f>
        <v>1310.2</v>
      </c>
      <c r="N75" s="60" t="n">
        <f aca="false">'basic parameter'!$C$2*'basic parameter'!$C$6</f>
        <v>37.8505305</v>
      </c>
      <c r="O75" s="58" t="n">
        <f aca="false">M75*N75</f>
        <v>49591.7650611</v>
      </c>
      <c r="P75" s="58" t="n">
        <f aca="false">IF(I75="Y",M75*J75%*'basic parameter'!$C$7*'basic parameter'!$C$9,0)</f>
        <v>0</v>
      </c>
      <c r="Q75" s="58" t="n">
        <f aca="false">MAX(O75-P75,0)</f>
        <v>49591.7650611</v>
      </c>
      <c r="R75" s="1" t="str">
        <f aca="false">IF(K75&gt;='basic parameter'!$C$8,"Y","N")</f>
        <v>Y</v>
      </c>
      <c r="S75" s="58" t="n">
        <f aca="false">IF(R75="Y",'basic parameter'!$C$11,0)</f>
        <v>5000</v>
      </c>
      <c r="T75" s="58" t="n">
        <f aca="false">E75*'basic parameter'!$C$10</f>
        <v>1250</v>
      </c>
      <c r="U75" s="61" t="n">
        <f aca="false">('basic parameter'!$C$3*E75-L75)*N75+P75+S75-T75</f>
        <v>-12525.728115</v>
      </c>
    </row>
    <row r="76" customFormat="false" ht="14.25" hidden="false" customHeight="true" outlineLevel="0" collapsed="false">
      <c r="A76" s="1" t="n">
        <v>75</v>
      </c>
      <c r="B76" s="1" t="s">
        <v>293</v>
      </c>
      <c r="C76" s="56" t="n">
        <v>46489</v>
      </c>
      <c r="D76" s="1" t="s">
        <v>138</v>
      </c>
      <c r="E76" s="57" t="n">
        <v>1500</v>
      </c>
      <c r="F76" s="1" t="s">
        <v>214</v>
      </c>
      <c r="G76" s="1" t="n">
        <v>0.44</v>
      </c>
      <c r="H76" s="57" t="n">
        <v>21</v>
      </c>
      <c r="I76" s="1" t="s">
        <v>135</v>
      </c>
      <c r="J76" s="1" t="n">
        <v>80</v>
      </c>
      <c r="K76" s="58" t="n">
        <v>1548193</v>
      </c>
      <c r="L76" s="59" t="n">
        <f aca="false">IF(G76&lt;&gt;"",E76*G76,E76*'basic parameter'!$C$3)</f>
        <v>660</v>
      </c>
      <c r="M76" s="59" t="n">
        <f aca="false">L76-(H76*'basic parameter'!$C$12)</f>
        <v>653.7</v>
      </c>
      <c r="N76" s="60" t="n">
        <f aca="false">'basic parameter'!$C$2*'basic parameter'!$C$6</f>
        <v>37.8505305</v>
      </c>
      <c r="O76" s="58" t="n">
        <f aca="false">M76*N76</f>
        <v>24742.89178785</v>
      </c>
      <c r="P76" s="58" t="n">
        <f aca="false">IF(I76="Y",M76*J76%*'basic parameter'!$C$7*'basic parameter'!$C$9,0)</f>
        <v>5804.856</v>
      </c>
      <c r="Q76" s="58" t="n">
        <f aca="false">MAX(O76-P76,0)</f>
        <v>18938.03578785</v>
      </c>
      <c r="R76" s="1" t="str">
        <f aca="false">IF(K76&gt;='basic parameter'!$C$8,"Y","N")</f>
        <v>Y</v>
      </c>
      <c r="S76" s="58" t="n">
        <f aca="false">IF(R76="Y",'basic parameter'!$C$11,0)</f>
        <v>5000</v>
      </c>
      <c r="T76" s="58" t="n">
        <f aca="false">E76*'basic parameter'!$C$10</f>
        <v>3750</v>
      </c>
      <c r="U76" s="61" t="n">
        <f aca="false">('basic parameter'!$C$3*E76-L76)*N76+P76+S76-T76</f>
        <v>84269.93822</v>
      </c>
    </row>
    <row r="77" customFormat="false" ht="14.25" hidden="false" customHeight="true" outlineLevel="0" collapsed="false">
      <c r="A77" s="1" t="n">
        <v>76</v>
      </c>
      <c r="B77" s="1" t="s">
        <v>294</v>
      </c>
      <c r="C77" s="56" t="n">
        <v>46469</v>
      </c>
      <c r="D77" s="1" t="s">
        <v>138</v>
      </c>
      <c r="E77" s="57" t="n">
        <v>500</v>
      </c>
      <c r="F77" s="1" t="s">
        <v>16</v>
      </c>
      <c r="G77" s="1" t="n">
        <v>1.95</v>
      </c>
      <c r="H77" s="57" t="n">
        <v>30</v>
      </c>
      <c r="I77" s="1" t="s">
        <v>135</v>
      </c>
      <c r="J77" s="1" t="n">
        <v>80</v>
      </c>
      <c r="K77" s="58" t="n">
        <v>467253</v>
      </c>
      <c r="L77" s="59" t="n">
        <f aca="false">IF(G77&lt;&gt;"",E77*G77,E77*'basic parameter'!$C$3)</f>
        <v>975</v>
      </c>
      <c r="M77" s="59" t="n">
        <f aca="false">L77-(H77*'basic parameter'!$C$12)</f>
        <v>966</v>
      </c>
      <c r="N77" s="60" t="n">
        <f aca="false">'basic parameter'!$C$2*'basic parameter'!$C$6</f>
        <v>37.8505305</v>
      </c>
      <c r="O77" s="58" t="n">
        <f aca="false">M77*N77</f>
        <v>36563.612463</v>
      </c>
      <c r="P77" s="58" t="n">
        <f aca="false">IF(I77="Y",M77*J77%*'basic parameter'!$C$7*'basic parameter'!$C$9,0)</f>
        <v>8578.08</v>
      </c>
      <c r="Q77" s="58" t="n">
        <f aca="false">MAX(O77-P77,0)</f>
        <v>27985.532463</v>
      </c>
      <c r="R77" s="1" t="str">
        <f aca="false">IF(K77&gt;='basic parameter'!$C$8,"Y","N")</f>
        <v>Y</v>
      </c>
      <c r="S77" s="58" t="n">
        <f aca="false">IF(R77="Y",'basic parameter'!$C$11,0)</f>
        <v>5000</v>
      </c>
      <c r="T77" s="58" t="n">
        <f aca="false">E77*'basic parameter'!$C$10</f>
        <v>1250</v>
      </c>
      <c r="U77" s="61" t="n">
        <f aca="false">('basic parameter'!$C$3*E77-L77)*N77+P77+S77-T77</f>
        <v>9489.2902125</v>
      </c>
    </row>
    <row r="78" customFormat="false" ht="14.25" hidden="false" customHeight="true" outlineLevel="0" collapsed="false">
      <c r="A78" s="1" t="n">
        <v>77</v>
      </c>
      <c r="B78" s="1" t="s">
        <v>295</v>
      </c>
      <c r="C78" s="56" t="n">
        <v>46428</v>
      </c>
      <c r="D78" s="1" t="s">
        <v>158</v>
      </c>
      <c r="E78" s="57" t="n">
        <v>2000</v>
      </c>
      <c r="F78" s="1" t="s">
        <v>214</v>
      </c>
      <c r="G78" s="1" t="n">
        <v>0.45</v>
      </c>
      <c r="H78" s="57" t="n">
        <v>156</v>
      </c>
      <c r="I78" s="1" t="s">
        <v>135</v>
      </c>
      <c r="J78" s="1" t="n">
        <v>80</v>
      </c>
      <c r="K78" s="58" t="n">
        <v>2296722</v>
      </c>
      <c r="L78" s="59" t="n">
        <f aca="false">IF(G78&lt;&gt;"",E78*G78,E78*'basic parameter'!$C$3)</f>
        <v>900</v>
      </c>
      <c r="M78" s="59" t="n">
        <f aca="false">L78-(H78*'basic parameter'!$C$12)</f>
        <v>853.2</v>
      </c>
      <c r="N78" s="60" t="n">
        <f aca="false">'basic parameter'!$C$2*'basic parameter'!$C$6</f>
        <v>37.8505305</v>
      </c>
      <c r="O78" s="58" t="n">
        <f aca="false">M78*N78</f>
        <v>32294.0726226</v>
      </c>
      <c r="P78" s="58" t="n">
        <f aca="false">IF(I78="Y",M78*J78%*'basic parameter'!$C$7*'basic parameter'!$C$9,0)</f>
        <v>7576.416</v>
      </c>
      <c r="Q78" s="58" t="n">
        <f aca="false">MAX(O78-P78,0)</f>
        <v>24717.6566226</v>
      </c>
      <c r="R78" s="1" t="str">
        <f aca="false">IF(K78&gt;='basic parameter'!$C$8,"Y","N")</f>
        <v>Y</v>
      </c>
      <c r="S78" s="58" t="n">
        <f aca="false">IF(R78="Y",'basic parameter'!$C$11,0)</f>
        <v>5000</v>
      </c>
      <c r="T78" s="58" t="n">
        <f aca="false">E78*'basic parameter'!$C$10</f>
        <v>5000</v>
      </c>
      <c r="U78" s="61" t="n">
        <f aca="false">('basic parameter'!$C$3*E78-L78)*N78+P78+S78-T78</f>
        <v>109772.84835</v>
      </c>
    </row>
    <row r="79" customFormat="false" ht="14.25" hidden="false" customHeight="true" outlineLevel="0" collapsed="false">
      <c r="A79" s="1" t="n">
        <v>78</v>
      </c>
      <c r="B79" s="1" t="s">
        <v>296</v>
      </c>
      <c r="C79" s="56" t="n">
        <v>46458</v>
      </c>
      <c r="D79" s="1" t="s">
        <v>154</v>
      </c>
      <c r="E79" s="57" t="n">
        <v>3000</v>
      </c>
      <c r="F79" s="1" t="s">
        <v>16</v>
      </c>
      <c r="G79" s="1" t="n">
        <v>1.81</v>
      </c>
      <c r="H79" s="57" t="n">
        <v>199</v>
      </c>
      <c r="I79" s="1" t="s">
        <v>135</v>
      </c>
      <c r="J79" s="1" t="n">
        <v>80</v>
      </c>
      <c r="K79" s="58" t="n">
        <v>3323180</v>
      </c>
      <c r="L79" s="59" t="n">
        <f aca="false">IF(G79&lt;&gt;"",E79*G79,E79*'basic parameter'!$C$3)</f>
        <v>5430</v>
      </c>
      <c r="M79" s="59" t="n">
        <f aca="false">L79-(H79*'basic parameter'!$C$12)</f>
        <v>5370.3</v>
      </c>
      <c r="N79" s="60" t="n">
        <f aca="false">'basic parameter'!$C$2*'basic parameter'!$C$6</f>
        <v>37.8505305</v>
      </c>
      <c r="O79" s="58" t="n">
        <f aca="false">M79*N79</f>
        <v>203268.70394415</v>
      </c>
      <c r="P79" s="58" t="n">
        <f aca="false">IF(I79="Y",M79*J79%*'basic parameter'!$C$7*'basic parameter'!$C$9,0)</f>
        <v>47688.264</v>
      </c>
      <c r="Q79" s="58" t="n">
        <f aca="false">MAX(O79-P79,0)</f>
        <v>155580.43994415</v>
      </c>
      <c r="R79" s="1" t="str">
        <f aca="false">IF(K79&gt;='basic parameter'!$C$8,"Y","N")</f>
        <v>Y</v>
      </c>
      <c r="S79" s="58" t="n">
        <f aca="false">IF(R79="Y",'basic parameter'!$C$11,0)</f>
        <v>5000</v>
      </c>
      <c r="T79" s="58" t="n">
        <f aca="false">E79*'basic parameter'!$C$10</f>
        <v>7500</v>
      </c>
      <c r="U79" s="61" t="n">
        <f aca="false">('basic parameter'!$C$3*E79-L79)*N79+P79+S79-T79</f>
        <v>44052.748085</v>
      </c>
    </row>
    <row r="80" customFormat="false" ht="14.25" hidden="false" customHeight="true" outlineLevel="0" collapsed="false">
      <c r="A80" s="1" t="n">
        <v>79</v>
      </c>
      <c r="B80" s="1" t="s">
        <v>297</v>
      </c>
      <c r="C80" s="56" t="n">
        <v>46400</v>
      </c>
      <c r="D80" s="1" t="s">
        <v>134</v>
      </c>
      <c r="E80" s="57" t="n">
        <v>2000</v>
      </c>
      <c r="F80" s="1" t="s">
        <v>214</v>
      </c>
      <c r="G80" s="1" t="n">
        <v>1.31</v>
      </c>
      <c r="H80" s="57" t="n">
        <v>118</v>
      </c>
      <c r="I80" s="1" t="s">
        <v>135</v>
      </c>
      <c r="J80" s="1" t="n">
        <v>80</v>
      </c>
      <c r="K80" s="58" t="n">
        <v>1853502</v>
      </c>
      <c r="L80" s="59" t="n">
        <f aca="false">IF(G80&lt;&gt;"",E80*G80,E80*'basic parameter'!$C$3)</f>
        <v>2620</v>
      </c>
      <c r="M80" s="59" t="n">
        <f aca="false">L80-(H80*'basic parameter'!$C$12)</f>
        <v>2584.6</v>
      </c>
      <c r="N80" s="60" t="n">
        <f aca="false">'basic parameter'!$C$2*'basic parameter'!$C$6</f>
        <v>37.8505305</v>
      </c>
      <c r="O80" s="58" t="n">
        <f aca="false">M80*N80</f>
        <v>97828.4811303</v>
      </c>
      <c r="P80" s="58" t="n">
        <f aca="false">IF(I80="Y",M80*J80%*'basic parameter'!$C$7*'basic parameter'!$C$9,0)</f>
        <v>22951.248</v>
      </c>
      <c r="Q80" s="58" t="n">
        <f aca="false">MAX(O80-P80,0)</f>
        <v>74877.2331303</v>
      </c>
      <c r="R80" s="1" t="str">
        <f aca="false">IF(K80&gt;='basic parameter'!$C$8,"Y","N")</f>
        <v>Y</v>
      </c>
      <c r="S80" s="58" t="n">
        <f aca="false">IF(R80="Y",'basic parameter'!$C$11,0)</f>
        <v>5000</v>
      </c>
      <c r="T80" s="58" t="n">
        <f aca="false">E80*'basic parameter'!$C$10</f>
        <v>5000</v>
      </c>
      <c r="U80" s="61" t="n">
        <f aca="false">('basic parameter'!$C$3*E80-L80)*N80+P80+S80-T80</f>
        <v>60044.76789</v>
      </c>
    </row>
    <row r="81" customFormat="false" ht="14.25" hidden="false" customHeight="true" outlineLevel="0" collapsed="false">
      <c r="A81" s="1" t="n">
        <v>80</v>
      </c>
      <c r="B81" s="1" t="s">
        <v>298</v>
      </c>
      <c r="C81" s="56" t="n">
        <v>46459</v>
      </c>
      <c r="D81" s="1" t="s">
        <v>134</v>
      </c>
      <c r="E81" s="57" t="n">
        <v>3000</v>
      </c>
      <c r="F81" s="1" t="s">
        <v>16</v>
      </c>
      <c r="G81" s="1" t="n">
        <v>2.28</v>
      </c>
      <c r="H81" s="57" t="n">
        <v>49</v>
      </c>
      <c r="I81" s="1" t="s">
        <v>135</v>
      </c>
      <c r="J81" s="1" t="n">
        <v>80</v>
      </c>
      <c r="K81" s="58" t="n">
        <v>2293705</v>
      </c>
      <c r="L81" s="59" t="n">
        <f aca="false">IF(G81&lt;&gt;"",E81*G81,E81*'basic parameter'!$C$3)</f>
        <v>6840</v>
      </c>
      <c r="M81" s="59" t="n">
        <f aca="false">L81-(H81*'basic parameter'!$C$12)</f>
        <v>6825.3</v>
      </c>
      <c r="N81" s="60" t="n">
        <f aca="false">'basic parameter'!$C$2*'basic parameter'!$C$6</f>
        <v>37.8505305</v>
      </c>
      <c r="O81" s="58" t="n">
        <f aca="false">M81*N81</f>
        <v>258341.22582165</v>
      </c>
      <c r="P81" s="58" t="n">
        <f aca="false">IF(I81="Y",M81*J81%*'basic parameter'!$C$7*'basic parameter'!$C$9,0)</f>
        <v>60608.664</v>
      </c>
      <c r="Q81" s="58" t="n">
        <f aca="false">MAX(O81-P81,0)</f>
        <v>197732.56182165</v>
      </c>
      <c r="R81" s="1" t="str">
        <f aca="false">IF(K81&gt;='basic parameter'!$C$8,"Y","N")</f>
        <v>Y</v>
      </c>
      <c r="S81" s="58" t="n">
        <f aca="false">IF(R81="Y",'basic parameter'!$C$11,0)</f>
        <v>5000</v>
      </c>
      <c r="T81" s="58" t="n">
        <f aca="false">E81*'basic parameter'!$C$10</f>
        <v>7500</v>
      </c>
      <c r="U81" s="61" t="n">
        <f aca="false">('basic parameter'!$C$3*E81-L81)*N81+P81+S81-T81</f>
        <v>3603.90008000004</v>
      </c>
    </row>
    <row r="82" customFormat="false" ht="14.25" hidden="false" customHeight="true" outlineLevel="0" collapsed="false">
      <c r="A82" s="1" t="n">
        <v>81</v>
      </c>
      <c r="B82" s="1" t="s">
        <v>299</v>
      </c>
      <c r="C82" s="56" t="n">
        <v>46499</v>
      </c>
      <c r="D82" s="1" t="s">
        <v>160</v>
      </c>
      <c r="E82" s="57" t="n">
        <v>1000</v>
      </c>
      <c r="F82" s="1" t="s">
        <v>16</v>
      </c>
      <c r="G82" s="1" t="n">
        <v>1.83</v>
      </c>
      <c r="H82" s="57" t="n">
        <v>141</v>
      </c>
      <c r="I82" s="1" t="s">
        <v>135</v>
      </c>
      <c r="J82" s="1" t="n">
        <v>80</v>
      </c>
      <c r="K82" s="58" t="n">
        <v>983819</v>
      </c>
      <c r="L82" s="59" t="n">
        <f aca="false">IF(G82&lt;&gt;"",E82*G82,E82*'basic parameter'!$C$3)</f>
        <v>1830</v>
      </c>
      <c r="M82" s="59" t="n">
        <f aca="false">L82-(H82*'basic parameter'!$C$12)</f>
        <v>1787.7</v>
      </c>
      <c r="N82" s="60" t="n">
        <f aca="false">'basic parameter'!$C$2*'basic parameter'!$C$6</f>
        <v>37.8505305</v>
      </c>
      <c r="O82" s="58" t="n">
        <f aca="false">M82*N82</f>
        <v>67665.39337485</v>
      </c>
      <c r="P82" s="58" t="n">
        <f aca="false">IF(I82="Y",M82*J82%*'basic parameter'!$C$7*'basic parameter'!$C$9,0)</f>
        <v>15874.776</v>
      </c>
      <c r="Q82" s="58" t="n">
        <f aca="false">MAX(O82-P82,0)</f>
        <v>51790.61737485</v>
      </c>
      <c r="R82" s="1" t="str">
        <f aca="false">IF(K82&gt;='basic parameter'!$C$8,"Y","N")</f>
        <v>Y</v>
      </c>
      <c r="S82" s="58" t="n">
        <f aca="false">IF(R82="Y",'basic parameter'!$C$11,0)</f>
        <v>5000</v>
      </c>
      <c r="T82" s="58" t="n">
        <f aca="false">E82*'basic parameter'!$C$10</f>
        <v>2500</v>
      </c>
      <c r="U82" s="61" t="n">
        <f aca="false">('basic parameter'!$C$3*E82-L82)*N82+P82+S82-T82</f>
        <v>17239.260085</v>
      </c>
    </row>
    <row r="83" customFormat="false" ht="14.25" hidden="false" customHeight="true" outlineLevel="0" collapsed="false">
      <c r="A83" s="1" t="n">
        <v>82</v>
      </c>
      <c r="B83" s="1" t="s">
        <v>300</v>
      </c>
      <c r="C83" s="56" t="n">
        <v>46480</v>
      </c>
      <c r="D83" s="1" t="s">
        <v>160</v>
      </c>
      <c r="E83" s="57" t="n">
        <v>2500</v>
      </c>
      <c r="F83" s="1" t="s">
        <v>214</v>
      </c>
      <c r="G83" s="1" t="n">
        <v>0.39</v>
      </c>
      <c r="H83" s="57" t="n">
        <v>507</v>
      </c>
      <c r="I83" s="1" t="s">
        <v>135</v>
      </c>
      <c r="J83" s="1" t="n">
        <v>80</v>
      </c>
      <c r="K83" s="58" t="n">
        <v>2206468</v>
      </c>
      <c r="L83" s="59" t="n">
        <f aca="false">IF(G83&lt;&gt;"",E83*G83,E83*'basic parameter'!$C$3)</f>
        <v>975</v>
      </c>
      <c r="M83" s="59" t="n">
        <f aca="false">L83-(H83*'basic parameter'!$C$12)</f>
        <v>822.9</v>
      </c>
      <c r="N83" s="60" t="n">
        <f aca="false">'basic parameter'!$C$2*'basic parameter'!$C$6</f>
        <v>37.8505305</v>
      </c>
      <c r="O83" s="58" t="n">
        <f aca="false">M83*N83</f>
        <v>31147.20154845</v>
      </c>
      <c r="P83" s="58" t="n">
        <f aca="false">IF(I83="Y",M83*J83%*'basic parameter'!$C$7*'basic parameter'!$C$9,0)</f>
        <v>7307.352</v>
      </c>
      <c r="Q83" s="58" t="n">
        <f aca="false">MAX(O83-P83,0)</f>
        <v>23839.84954845</v>
      </c>
      <c r="R83" s="1" t="str">
        <f aca="false">IF(K83&gt;='basic parameter'!$C$8,"Y","N")</f>
        <v>Y</v>
      </c>
      <c r="S83" s="58" t="n">
        <f aca="false">IF(R83="Y",'basic parameter'!$C$11,0)</f>
        <v>5000</v>
      </c>
      <c r="T83" s="58" t="n">
        <f aca="false">E83*'basic parameter'!$C$10</f>
        <v>6250</v>
      </c>
      <c r="U83" s="61" t="n">
        <f aca="false">('basic parameter'!$C$3*E83-L83)*N83+P83+S83-T83</f>
        <v>139480.4720125</v>
      </c>
    </row>
    <row r="84" customFormat="false" ht="14.25" hidden="false" customHeight="true" outlineLevel="0" collapsed="false">
      <c r="A84" s="1" t="n">
        <v>83</v>
      </c>
      <c r="B84" s="1" t="s">
        <v>301</v>
      </c>
      <c r="C84" s="56" t="n">
        <v>46492</v>
      </c>
      <c r="D84" s="1" t="s">
        <v>160</v>
      </c>
      <c r="E84" s="57" t="n">
        <v>750</v>
      </c>
      <c r="F84" s="1" t="s">
        <v>16</v>
      </c>
      <c r="G84" s="1" t="n">
        <v>1.77</v>
      </c>
      <c r="H84" s="57" t="n">
        <v>124</v>
      </c>
      <c r="I84" s="1" t="s">
        <v>135</v>
      </c>
      <c r="J84" s="1" t="n">
        <v>80</v>
      </c>
      <c r="K84" s="58" t="n">
        <v>858105</v>
      </c>
      <c r="L84" s="59" t="n">
        <f aca="false">IF(G84&lt;&gt;"",E84*G84,E84*'basic parameter'!$C$3)</f>
        <v>1327.5</v>
      </c>
      <c r="M84" s="59" t="n">
        <f aca="false">L84-(H84*'basic parameter'!$C$12)</f>
        <v>1290.3</v>
      </c>
      <c r="N84" s="60" t="n">
        <f aca="false">'basic parameter'!$C$2*'basic parameter'!$C$6</f>
        <v>37.8505305</v>
      </c>
      <c r="O84" s="58" t="n">
        <f aca="false">M84*N84</f>
        <v>48838.53950415</v>
      </c>
      <c r="P84" s="58" t="n">
        <f aca="false">IF(I84="Y",M84*J84%*'basic parameter'!$C$7*'basic parameter'!$C$9,0)</f>
        <v>11457.864</v>
      </c>
      <c r="Q84" s="58" t="n">
        <f aca="false">MAX(O84-P84,0)</f>
        <v>37380.67550415</v>
      </c>
      <c r="R84" s="1" t="str">
        <f aca="false">IF(K84&gt;='basic parameter'!$C$8,"Y","N")</f>
        <v>Y</v>
      </c>
      <c r="S84" s="58" t="n">
        <f aca="false">IF(R84="Y",'basic parameter'!$C$11,0)</f>
        <v>5000</v>
      </c>
      <c r="T84" s="58" t="n">
        <f aca="false">E84*'basic parameter'!$C$10</f>
        <v>1875</v>
      </c>
      <c r="U84" s="61" t="n">
        <f aca="false">('basic parameter'!$C$3*E84-L84)*N84+P84+S84-T84</f>
        <v>15434.50093625</v>
      </c>
    </row>
    <row r="85" customFormat="false" ht="14.25" hidden="false" customHeight="true" outlineLevel="0" collapsed="false">
      <c r="A85" s="1" t="n">
        <v>84</v>
      </c>
      <c r="B85" s="1" t="s">
        <v>302</v>
      </c>
      <c r="C85" s="56" t="n">
        <v>46433</v>
      </c>
      <c r="D85" s="1" t="s">
        <v>146</v>
      </c>
      <c r="E85" s="57" t="n">
        <v>1250</v>
      </c>
      <c r="F85" s="1" t="s">
        <v>16</v>
      </c>
      <c r="G85" s="1" t="n">
        <v>1.87</v>
      </c>
      <c r="H85" s="57" t="n">
        <v>187</v>
      </c>
      <c r="I85" s="1" t="s">
        <v>24</v>
      </c>
      <c r="J85" s="1" t="n">
        <v>0</v>
      </c>
      <c r="K85" s="58" t="n">
        <v>958190</v>
      </c>
      <c r="L85" s="59" t="n">
        <f aca="false">IF(G85&lt;&gt;"",E85*G85,E85*'basic parameter'!$C$3)</f>
        <v>2337.5</v>
      </c>
      <c r="M85" s="59" t="n">
        <f aca="false">L85-(H85*'basic parameter'!$C$12)</f>
        <v>2281.4</v>
      </c>
      <c r="N85" s="60" t="n">
        <f aca="false">'basic parameter'!$C$2*'basic parameter'!$C$6</f>
        <v>37.8505305</v>
      </c>
      <c r="O85" s="58" t="n">
        <f aca="false">M85*N85</f>
        <v>86352.2002827</v>
      </c>
      <c r="P85" s="58" t="n">
        <f aca="false">IF(I85="Y",M85*J85%*'basic parameter'!$C$7*'basic parameter'!$C$9,0)</f>
        <v>0</v>
      </c>
      <c r="Q85" s="58" t="n">
        <f aca="false">MAX(O85-P85,0)</f>
        <v>86352.2002827</v>
      </c>
      <c r="R85" s="1" t="str">
        <f aca="false">IF(K85&gt;='basic parameter'!$C$8,"Y","N")</f>
        <v>Y</v>
      </c>
      <c r="S85" s="58" t="n">
        <f aca="false">IF(R85="Y",'basic parameter'!$C$11,0)</f>
        <v>5000</v>
      </c>
      <c r="T85" s="58" t="n">
        <f aca="false">E85*'basic parameter'!$C$10</f>
        <v>3125</v>
      </c>
      <c r="U85" s="61" t="n">
        <f aca="false">('basic parameter'!$C$3*E85-L85)*N85+P85+S85-T85</f>
        <v>-1436.92141875</v>
      </c>
    </row>
    <row r="86" customFormat="false" ht="14.25" hidden="false" customHeight="true" outlineLevel="0" collapsed="false">
      <c r="A86" s="1" t="n">
        <v>85</v>
      </c>
      <c r="B86" s="1" t="s">
        <v>303</v>
      </c>
      <c r="C86" s="56" t="n">
        <v>46480</v>
      </c>
      <c r="D86" s="1" t="s">
        <v>158</v>
      </c>
      <c r="E86" s="57" t="n">
        <v>1000</v>
      </c>
      <c r="F86" s="1" t="s">
        <v>214</v>
      </c>
      <c r="G86" s="1" t="n">
        <v>0.45</v>
      </c>
      <c r="H86" s="57" t="n">
        <v>67</v>
      </c>
      <c r="I86" s="1" t="s">
        <v>135</v>
      </c>
      <c r="J86" s="1" t="n">
        <v>80</v>
      </c>
      <c r="K86" s="58" t="n">
        <v>752064</v>
      </c>
      <c r="L86" s="59" t="n">
        <f aca="false">IF(G86&lt;&gt;"",E86*G86,E86*'basic parameter'!$C$3)</f>
        <v>450</v>
      </c>
      <c r="M86" s="59" t="n">
        <f aca="false">L86-(H86*'basic parameter'!$C$12)</f>
        <v>429.9</v>
      </c>
      <c r="N86" s="60" t="n">
        <f aca="false">'basic parameter'!$C$2*'basic parameter'!$C$6</f>
        <v>37.8505305</v>
      </c>
      <c r="O86" s="58" t="n">
        <f aca="false">M86*N86</f>
        <v>16271.94306195</v>
      </c>
      <c r="P86" s="58" t="n">
        <f aca="false">IF(I86="Y",M86*J86%*'basic parameter'!$C$7*'basic parameter'!$C$9,0)</f>
        <v>3817.512</v>
      </c>
      <c r="Q86" s="58" t="n">
        <f aca="false">MAX(O86-P86,0)</f>
        <v>12454.43106195</v>
      </c>
      <c r="R86" s="1" t="str">
        <f aca="false">IF(K86&gt;='basic parameter'!$C$8,"Y","N")</f>
        <v>Y</v>
      </c>
      <c r="S86" s="58" t="n">
        <f aca="false">IF(R86="Y",'basic parameter'!$C$11,0)</f>
        <v>5000</v>
      </c>
      <c r="T86" s="58" t="n">
        <f aca="false">E86*'basic parameter'!$C$10</f>
        <v>2500</v>
      </c>
      <c r="U86" s="61" t="n">
        <f aca="false">('basic parameter'!$C$3*E86-L86)*N86+P86+S86-T86</f>
        <v>57415.728175</v>
      </c>
    </row>
    <row r="87" customFormat="false" ht="14.25" hidden="false" customHeight="true" outlineLevel="0" collapsed="false">
      <c r="A87" s="1" t="n">
        <v>86</v>
      </c>
      <c r="B87" s="1" t="s">
        <v>304</v>
      </c>
      <c r="C87" s="56" t="n">
        <v>46482</v>
      </c>
      <c r="D87" s="1" t="s">
        <v>10</v>
      </c>
      <c r="E87" s="57" t="n">
        <v>500</v>
      </c>
      <c r="F87" s="1" t="s">
        <v>214</v>
      </c>
      <c r="G87" s="1" t="n">
        <v>2.08</v>
      </c>
      <c r="H87" s="57" t="n">
        <v>91</v>
      </c>
      <c r="I87" s="1" t="s">
        <v>24</v>
      </c>
      <c r="J87" s="1" t="n">
        <v>0</v>
      </c>
      <c r="K87" s="58" t="n">
        <v>553737</v>
      </c>
      <c r="L87" s="59" t="n">
        <f aca="false">IF(G87&lt;&gt;"",E87*G87,E87*'basic parameter'!$C$3)</f>
        <v>1040</v>
      </c>
      <c r="M87" s="59" t="n">
        <f aca="false">L87-(H87*'basic parameter'!$C$12)</f>
        <v>1012.7</v>
      </c>
      <c r="N87" s="60" t="n">
        <f aca="false">'basic parameter'!$C$2*'basic parameter'!$C$6</f>
        <v>37.8505305</v>
      </c>
      <c r="O87" s="58" t="n">
        <f aca="false">M87*N87</f>
        <v>38331.23223735</v>
      </c>
      <c r="P87" s="58" t="n">
        <f aca="false">IF(I87="Y",M87*J87%*'basic parameter'!$C$7*'basic parameter'!$C$9,0)</f>
        <v>0</v>
      </c>
      <c r="Q87" s="58" t="n">
        <f aca="false">MAX(O87-P87,0)</f>
        <v>38331.23223735</v>
      </c>
      <c r="R87" s="1" t="str">
        <f aca="false">IF(K87&gt;='basic parameter'!$C$8,"Y","N")</f>
        <v>Y</v>
      </c>
      <c r="S87" s="58" t="n">
        <f aca="false">IF(R87="Y",'basic parameter'!$C$11,0)</f>
        <v>5000</v>
      </c>
      <c r="T87" s="58" t="n">
        <f aca="false">E87*'basic parameter'!$C$10</f>
        <v>1250</v>
      </c>
      <c r="U87" s="61" t="n">
        <f aca="false">('basic parameter'!$C$3*E87-L87)*N87+P87+S87-T87</f>
        <v>-1549.07427</v>
      </c>
    </row>
    <row r="88" customFormat="false" ht="14.25" hidden="false" customHeight="true" outlineLevel="0" collapsed="false">
      <c r="A88" s="1" t="n">
        <v>87</v>
      </c>
      <c r="B88" s="1" t="s">
        <v>305</v>
      </c>
      <c r="C88" s="56" t="n">
        <v>46464</v>
      </c>
      <c r="D88" s="1" t="s">
        <v>160</v>
      </c>
      <c r="E88" s="57" t="n">
        <v>3000</v>
      </c>
      <c r="F88" s="1" t="s">
        <v>16</v>
      </c>
      <c r="G88" s="1" t="n">
        <v>1.8</v>
      </c>
      <c r="H88" s="57" t="n">
        <v>584</v>
      </c>
      <c r="I88" s="1" t="s">
        <v>135</v>
      </c>
      <c r="J88" s="1" t="n">
        <v>80</v>
      </c>
      <c r="K88" s="58" t="n">
        <v>2206761</v>
      </c>
      <c r="L88" s="59" t="n">
        <f aca="false">IF(G88&lt;&gt;"",E88*G88,E88*'basic parameter'!$C$3)</f>
        <v>5400</v>
      </c>
      <c r="M88" s="59" t="n">
        <f aca="false">L88-(H88*'basic parameter'!$C$12)</f>
        <v>5224.8</v>
      </c>
      <c r="N88" s="60" t="n">
        <f aca="false">'basic parameter'!$C$2*'basic parameter'!$C$6</f>
        <v>37.8505305</v>
      </c>
      <c r="O88" s="58" t="n">
        <f aca="false">M88*N88</f>
        <v>197761.4517564</v>
      </c>
      <c r="P88" s="58" t="n">
        <f aca="false">IF(I88="Y",M88*J88%*'basic parameter'!$C$7*'basic parameter'!$C$9,0)</f>
        <v>46396.224</v>
      </c>
      <c r="Q88" s="58" t="n">
        <f aca="false">MAX(O88-P88,0)</f>
        <v>151365.2277564</v>
      </c>
      <c r="R88" s="1" t="str">
        <f aca="false">IF(K88&gt;='basic parameter'!$C$8,"Y","N")</f>
        <v>Y</v>
      </c>
      <c r="S88" s="58" t="n">
        <f aca="false">IF(R88="Y",'basic parameter'!$C$11,0)</f>
        <v>5000</v>
      </c>
      <c r="T88" s="58" t="n">
        <f aca="false">E88*'basic parameter'!$C$10</f>
        <v>7500</v>
      </c>
      <c r="U88" s="61" t="n">
        <f aca="false">('basic parameter'!$C$3*E88-L88)*N88+P88+S88-T88</f>
        <v>43896.224</v>
      </c>
    </row>
    <row r="89" customFormat="false" ht="14.25" hidden="false" customHeight="true" outlineLevel="0" collapsed="false">
      <c r="A89" s="1" t="n">
        <v>88</v>
      </c>
      <c r="B89" s="1" t="s">
        <v>306</v>
      </c>
      <c r="C89" s="56" t="n">
        <v>46499</v>
      </c>
      <c r="D89" s="1" t="s">
        <v>10</v>
      </c>
      <c r="E89" s="57" t="n">
        <v>500</v>
      </c>
      <c r="F89" s="1" t="s">
        <v>214</v>
      </c>
      <c r="G89" s="1" t="n">
        <v>2.08</v>
      </c>
      <c r="H89" s="57" t="n">
        <v>105</v>
      </c>
      <c r="I89" s="1" t="s">
        <v>24</v>
      </c>
      <c r="J89" s="1" t="n">
        <v>0</v>
      </c>
      <c r="K89" s="58" t="n">
        <v>473800</v>
      </c>
      <c r="L89" s="59" t="n">
        <f aca="false">IF(G89&lt;&gt;"",E89*G89,E89*'basic parameter'!$C$3)</f>
        <v>1040</v>
      </c>
      <c r="M89" s="59" t="n">
        <f aca="false">L89-(H89*'basic parameter'!$C$12)</f>
        <v>1008.5</v>
      </c>
      <c r="N89" s="60" t="n">
        <f aca="false">'basic parameter'!$C$2*'basic parameter'!$C$6</f>
        <v>37.8505305</v>
      </c>
      <c r="O89" s="58" t="n">
        <f aca="false">M89*N89</f>
        <v>38172.26000925</v>
      </c>
      <c r="P89" s="58" t="n">
        <f aca="false">IF(I89="Y",M89*J89%*'basic parameter'!$C$7*'basic parameter'!$C$9,0)</f>
        <v>0</v>
      </c>
      <c r="Q89" s="58" t="n">
        <f aca="false">MAX(O89-P89,0)</f>
        <v>38172.26000925</v>
      </c>
      <c r="R89" s="1" t="str">
        <f aca="false">IF(K89&gt;='basic parameter'!$C$8,"Y","N")</f>
        <v>Y</v>
      </c>
      <c r="S89" s="58" t="n">
        <f aca="false">IF(R89="Y",'basic parameter'!$C$11,0)</f>
        <v>5000</v>
      </c>
      <c r="T89" s="58" t="n">
        <f aca="false">E89*'basic parameter'!$C$10</f>
        <v>1250</v>
      </c>
      <c r="U89" s="61" t="n">
        <f aca="false">('basic parameter'!$C$3*E89-L89)*N89+P89+S89-T89</f>
        <v>-1549.07427</v>
      </c>
    </row>
    <row r="90" customFormat="false" ht="14.25" hidden="false" customHeight="true" outlineLevel="0" collapsed="false">
      <c r="A90" s="1" t="n">
        <v>89</v>
      </c>
      <c r="B90" s="1" t="s">
        <v>307</v>
      </c>
      <c r="C90" s="56" t="n">
        <v>46410</v>
      </c>
      <c r="D90" s="1" t="s">
        <v>158</v>
      </c>
      <c r="E90" s="57" t="n">
        <v>2500</v>
      </c>
      <c r="F90" s="1" t="s">
        <v>16</v>
      </c>
      <c r="G90" s="1" t="n">
        <v>1.77</v>
      </c>
      <c r="H90" s="57" t="n">
        <v>60</v>
      </c>
      <c r="I90" s="1" t="s">
        <v>135</v>
      </c>
      <c r="J90" s="1" t="n">
        <v>80</v>
      </c>
      <c r="K90" s="58" t="n">
        <v>2476777</v>
      </c>
      <c r="L90" s="59" t="n">
        <f aca="false">IF(G90&lt;&gt;"",E90*G90,E90*'basic parameter'!$C$3)</f>
        <v>4425</v>
      </c>
      <c r="M90" s="59" t="n">
        <f aca="false">L90-(H90*'basic parameter'!$C$12)</f>
        <v>4407</v>
      </c>
      <c r="N90" s="60" t="n">
        <f aca="false">'basic parameter'!$C$2*'basic parameter'!$C$6</f>
        <v>37.8505305</v>
      </c>
      <c r="O90" s="58" t="n">
        <f aca="false">M90*N90</f>
        <v>166807.2879135</v>
      </c>
      <c r="P90" s="58" t="n">
        <f aca="false">IF(I90="Y",M90*J90%*'basic parameter'!$C$7*'basic parameter'!$C$9,0)</f>
        <v>39134.16</v>
      </c>
      <c r="Q90" s="58" t="n">
        <f aca="false">MAX(O90-P90,0)</f>
        <v>127673.1279135</v>
      </c>
      <c r="R90" s="1" t="str">
        <f aca="false">IF(K90&gt;='basic parameter'!$C$8,"Y","N")</f>
        <v>Y</v>
      </c>
      <c r="S90" s="58" t="n">
        <f aca="false">IF(R90="Y",'basic parameter'!$C$11,0)</f>
        <v>5000</v>
      </c>
      <c r="T90" s="58" t="n">
        <f aca="false">E90*'basic parameter'!$C$10</f>
        <v>6250</v>
      </c>
      <c r="U90" s="61" t="n">
        <f aca="false">('basic parameter'!$C$3*E90-L90)*N90+P90+S90-T90</f>
        <v>40722.9497875</v>
      </c>
    </row>
    <row r="91" customFormat="false" ht="14.25" hidden="false" customHeight="true" outlineLevel="0" collapsed="false">
      <c r="A91" s="1" t="n">
        <v>90</v>
      </c>
      <c r="B91" s="1" t="s">
        <v>308</v>
      </c>
      <c r="C91" s="56" t="n">
        <v>46443</v>
      </c>
      <c r="D91" s="1" t="s">
        <v>162</v>
      </c>
      <c r="E91" s="57" t="n">
        <v>1000</v>
      </c>
      <c r="F91" s="1" t="s">
        <v>16</v>
      </c>
      <c r="G91" s="1" t="n">
        <v>1.57</v>
      </c>
      <c r="H91" s="57" t="n">
        <v>187</v>
      </c>
      <c r="I91" s="1" t="s">
        <v>24</v>
      </c>
      <c r="J91" s="1" t="n">
        <v>0</v>
      </c>
      <c r="K91" s="58" t="n">
        <v>1031834</v>
      </c>
      <c r="L91" s="59" t="n">
        <f aca="false">IF(G91&lt;&gt;"",E91*G91,E91*'basic parameter'!$C$3)</f>
        <v>1570</v>
      </c>
      <c r="M91" s="59" t="n">
        <f aca="false">L91-(H91*'basic parameter'!$C$12)</f>
        <v>1513.9</v>
      </c>
      <c r="N91" s="60" t="n">
        <f aca="false">'basic parameter'!$C$2*'basic parameter'!$C$6</f>
        <v>37.8505305</v>
      </c>
      <c r="O91" s="58" t="n">
        <f aca="false">M91*N91</f>
        <v>57301.91812395</v>
      </c>
      <c r="P91" s="58" t="n">
        <f aca="false">IF(I91="Y",M91*J91%*'basic parameter'!$C$7*'basic parameter'!$C$9,0)</f>
        <v>0</v>
      </c>
      <c r="Q91" s="58" t="n">
        <f aca="false">MAX(O91-P91,0)</f>
        <v>57301.91812395</v>
      </c>
      <c r="R91" s="1" t="str">
        <f aca="false">IF(K91&gt;='basic parameter'!$C$8,"Y","N")</f>
        <v>Y</v>
      </c>
      <c r="S91" s="58" t="n">
        <f aca="false">IF(R91="Y",'basic parameter'!$C$11,0)</f>
        <v>5000</v>
      </c>
      <c r="T91" s="58" t="n">
        <f aca="false">E91*'basic parameter'!$C$10</f>
        <v>2500</v>
      </c>
      <c r="U91" s="61" t="n">
        <f aca="false">('basic parameter'!$C$3*E91-L91)*N91+P91+S91-T91</f>
        <v>11205.622015</v>
      </c>
    </row>
    <row r="92" customFormat="false" ht="14.25" hidden="false" customHeight="true" outlineLevel="0" collapsed="false">
      <c r="A92" s="1" t="n">
        <v>91</v>
      </c>
      <c r="B92" s="1" t="s">
        <v>309</v>
      </c>
      <c r="C92" s="56" t="n">
        <v>46465</v>
      </c>
      <c r="D92" s="1" t="s">
        <v>160</v>
      </c>
      <c r="E92" s="57" t="n">
        <v>1500</v>
      </c>
      <c r="F92" s="1" t="s">
        <v>16</v>
      </c>
      <c r="G92" s="1" t="n">
        <v>1.81</v>
      </c>
      <c r="H92" s="57" t="n">
        <v>129</v>
      </c>
      <c r="I92" s="1" t="s">
        <v>135</v>
      </c>
      <c r="J92" s="1" t="n">
        <v>80</v>
      </c>
      <c r="K92" s="58" t="n">
        <v>1318482</v>
      </c>
      <c r="L92" s="59" t="n">
        <f aca="false">IF(G92&lt;&gt;"",E92*G92,E92*'basic parameter'!$C$3)</f>
        <v>2715</v>
      </c>
      <c r="M92" s="59" t="n">
        <f aca="false">L92-(H92*'basic parameter'!$C$12)</f>
        <v>2676.3</v>
      </c>
      <c r="N92" s="60" t="n">
        <f aca="false">'basic parameter'!$C$2*'basic parameter'!$C$6</f>
        <v>37.8505305</v>
      </c>
      <c r="O92" s="58" t="n">
        <f aca="false">M92*N92</f>
        <v>101299.37477715</v>
      </c>
      <c r="P92" s="58" t="n">
        <f aca="false">IF(I92="Y",M92*J92%*'basic parameter'!$C$7*'basic parameter'!$C$9,0)</f>
        <v>23765.544</v>
      </c>
      <c r="Q92" s="58" t="n">
        <f aca="false">MAX(O92-P92,0)</f>
        <v>77533.83077715</v>
      </c>
      <c r="R92" s="1" t="str">
        <f aca="false">IF(K92&gt;='basic parameter'!$C$8,"Y","N")</f>
        <v>Y</v>
      </c>
      <c r="S92" s="58" t="n">
        <f aca="false">IF(R92="Y",'basic parameter'!$C$11,0)</f>
        <v>5000</v>
      </c>
      <c r="T92" s="58" t="n">
        <f aca="false">E92*'basic parameter'!$C$10</f>
        <v>3750</v>
      </c>
      <c r="U92" s="61" t="n">
        <f aca="false">('basic parameter'!$C$3*E92-L92)*N92+P92+S92-T92</f>
        <v>24447.7860425</v>
      </c>
    </row>
    <row r="93" customFormat="false" ht="14.25" hidden="false" customHeight="true" outlineLevel="0" collapsed="false">
      <c r="A93" s="1" t="n">
        <v>92</v>
      </c>
      <c r="B93" s="1" t="s">
        <v>310</v>
      </c>
      <c r="C93" s="56" t="n">
        <v>46457</v>
      </c>
      <c r="D93" s="1" t="s">
        <v>146</v>
      </c>
      <c r="E93" s="57" t="n">
        <v>750</v>
      </c>
      <c r="F93" s="1" t="s">
        <v>16</v>
      </c>
      <c r="G93" s="1" t="n">
        <v>1.79</v>
      </c>
      <c r="H93" s="57" t="n">
        <v>33</v>
      </c>
      <c r="I93" s="1" t="s">
        <v>24</v>
      </c>
      <c r="J93" s="1" t="n">
        <v>0</v>
      </c>
      <c r="K93" s="58" t="n">
        <v>814101</v>
      </c>
      <c r="L93" s="59" t="n">
        <f aca="false">IF(G93&lt;&gt;"",E93*G93,E93*'basic parameter'!$C$3)</f>
        <v>1342.5</v>
      </c>
      <c r="M93" s="59" t="n">
        <f aca="false">L93-(H93*'basic parameter'!$C$12)</f>
        <v>1332.6</v>
      </c>
      <c r="N93" s="60" t="n">
        <f aca="false">'basic parameter'!$C$2*'basic parameter'!$C$6</f>
        <v>37.8505305</v>
      </c>
      <c r="O93" s="58" t="n">
        <f aca="false">M93*N93</f>
        <v>50439.6169443</v>
      </c>
      <c r="P93" s="58" t="n">
        <f aca="false">IF(I93="Y",M93*J93%*'basic parameter'!$C$7*'basic parameter'!$C$9,0)</f>
        <v>0</v>
      </c>
      <c r="Q93" s="58" t="n">
        <f aca="false">MAX(O93-P93,0)</f>
        <v>50439.6169443</v>
      </c>
      <c r="R93" s="1" t="str">
        <f aca="false">IF(K93&gt;='basic parameter'!$C$8,"Y","N")</f>
        <v>Y</v>
      </c>
      <c r="S93" s="58" t="n">
        <f aca="false">IF(R93="Y",'basic parameter'!$C$11,0)</f>
        <v>5000</v>
      </c>
      <c r="T93" s="58" t="n">
        <f aca="false">E93*'basic parameter'!$C$10</f>
        <v>1875</v>
      </c>
      <c r="U93" s="61" t="n">
        <f aca="false">('basic parameter'!$C$3*E93-L93)*N93+P93+S93-T93</f>
        <v>3408.87897875</v>
      </c>
    </row>
    <row r="94" customFormat="false" ht="14.25" hidden="false" customHeight="true" outlineLevel="0" collapsed="false">
      <c r="A94" s="1" t="n">
        <v>93</v>
      </c>
      <c r="B94" s="1" t="s">
        <v>311</v>
      </c>
      <c r="C94" s="56" t="n">
        <v>46453</v>
      </c>
      <c r="D94" s="1" t="s">
        <v>158</v>
      </c>
      <c r="E94" s="57" t="n">
        <v>1250</v>
      </c>
      <c r="F94" s="1" t="s">
        <v>16</v>
      </c>
      <c r="G94" s="1" t="n">
        <v>1.77</v>
      </c>
      <c r="H94" s="57" t="n">
        <v>94</v>
      </c>
      <c r="I94" s="1" t="s">
        <v>135</v>
      </c>
      <c r="J94" s="1" t="n">
        <v>80</v>
      </c>
      <c r="K94" s="58" t="n">
        <v>882533</v>
      </c>
      <c r="L94" s="59" t="n">
        <f aca="false">IF(G94&lt;&gt;"",E94*G94,E94*'basic parameter'!$C$3)</f>
        <v>2212.5</v>
      </c>
      <c r="M94" s="59" t="n">
        <f aca="false">L94-(H94*'basic parameter'!$C$12)</f>
        <v>2184.3</v>
      </c>
      <c r="N94" s="60" t="n">
        <f aca="false">'basic parameter'!$C$2*'basic parameter'!$C$6</f>
        <v>37.8505305</v>
      </c>
      <c r="O94" s="58" t="n">
        <f aca="false">M94*N94</f>
        <v>82676.91377115</v>
      </c>
      <c r="P94" s="58" t="n">
        <f aca="false">IF(I94="Y",M94*J94%*'basic parameter'!$C$7*'basic parameter'!$C$9,0)</f>
        <v>19396.584</v>
      </c>
      <c r="Q94" s="58" t="n">
        <f aca="false">MAX(O94-P94,0)</f>
        <v>63280.32977115</v>
      </c>
      <c r="R94" s="1" t="str">
        <f aca="false">IF(K94&gt;='basic parameter'!$C$8,"Y","N")</f>
        <v>Y</v>
      </c>
      <c r="S94" s="58" t="n">
        <f aca="false">IF(R94="Y",'basic parameter'!$C$11,0)</f>
        <v>5000</v>
      </c>
      <c r="T94" s="58" t="n">
        <f aca="false">E94*'basic parameter'!$C$10</f>
        <v>3125</v>
      </c>
      <c r="U94" s="61" t="n">
        <f aca="false">('basic parameter'!$C$3*E94-L94)*N94+P94+S94-T94</f>
        <v>22690.97889375</v>
      </c>
    </row>
    <row r="95" customFormat="false" ht="14.25" hidden="false" customHeight="true" outlineLevel="0" collapsed="false">
      <c r="A95" s="1" t="n">
        <v>94</v>
      </c>
      <c r="B95" s="1" t="s">
        <v>312</v>
      </c>
      <c r="C95" s="56" t="n">
        <v>46446</v>
      </c>
      <c r="D95" s="1" t="s">
        <v>154</v>
      </c>
      <c r="E95" s="57" t="n">
        <v>2000</v>
      </c>
      <c r="F95" s="1" t="s">
        <v>214</v>
      </c>
      <c r="G95" s="1" t="n">
        <v>0.3</v>
      </c>
      <c r="H95" s="57" t="n">
        <v>268</v>
      </c>
      <c r="I95" s="1" t="s">
        <v>135</v>
      </c>
      <c r="J95" s="1" t="n">
        <v>80</v>
      </c>
      <c r="K95" s="58" t="n">
        <v>1634033</v>
      </c>
      <c r="L95" s="59" t="n">
        <f aca="false">IF(G95&lt;&gt;"",E95*G95,E95*'basic parameter'!$C$3)</f>
        <v>600</v>
      </c>
      <c r="M95" s="59" t="n">
        <f aca="false">L95-(H95*'basic parameter'!$C$12)</f>
        <v>519.6</v>
      </c>
      <c r="N95" s="60" t="n">
        <f aca="false">'basic parameter'!$C$2*'basic parameter'!$C$6</f>
        <v>37.8505305</v>
      </c>
      <c r="O95" s="58" t="n">
        <f aca="false">M95*N95</f>
        <v>19667.1356478</v>
      </c>
      <c r="P95" s="58" t="n">
        <f aca="false">IF(I95="Y",M95*J95%*'basic parameter'!$C$7*'basic parameter'!$C$9,0)</f>
        <v>4614.048</v>
      </c>
      <c r="Q95" s="58" t="n">
        <f aca="false">MAX(O95-P95,0)</f>
        <v>15053.0876478</v>
      </c>
      <c r="R95" s="1" t="str">
        <f aca="false">IF(K95&gt;='basic parameter'!$C$8,"Y","N")</f>
        <v>Y</v>
      </c>
      <c r="S95" s="58" t="n">
        <f aca="false">IF(R95="Y",'basic parameter'!$C$11,0)</f>
        <v>5000</v>
      </c>
      <c r="T95" s="58" t="n">
        <f aca="false">E95*'basic parameter'!$C$10</f>
        <v>5000</v>
      </c>
      <c r="U95" s="61" t="n">
        <f aca="false">('basic parameter'!$C$3*E95-L95)*N95+P95+S95-T95</f>
        <v>118165.6395</v>
      </c>
    </row>
    <row r="96" customFormat="false" ht="14.25" hidden="false" customHeight="true" outlineLevel="0" collapsed="false">
      <c r="A96" s="1" t="n">
        <v>95</v>
      </c>
      <c r="B96" s="1" t="s">
        <v>313</v>
      </c>
      <c r="C96" s="56" t="n">
        <v>46491</v>
      </c>
      <c r="D96" s="1" t="s">
        <v>10</v>
      </c>
      <c r="E96" s="57" t="n">
        <v>150</v>
      </c>
      <c r="F96" s="1" t="s">
        <v>214</v>
      </c>
      <c r="G96" s="1" t="n">
        <v>2.04</v>
      </c>
      <c r="H96" s="57" t="n">
        <v>32</v>
      </c>
      <c r="I96" s="1" t="s">
        <v>24</v>
      </c>
      <c r="J96" s="1" t="n">
        <v>0</v>
      </c>
      <c r="K96" s="58" t="n">
        <v>120921</v>
      </c>
      <c r="L96" s="59" t="n">
        <f aca="false">IF(G96&lt;&gt;"",E96*G96,E96*'basic parameter'!$C$3)</f>
        <v>306</v>
      </c>
      <c r="M96" s="59" t="n">
        <f aca="false">L96-(H96*'basic parameter'!$C$12)</f>
        <v>296.4</v>
      </c>
      <c r="N96" s="60" t="n">
        <f aca="false">'basic parameter'!$C$2*'basic parameter'!$C$6</f>
        <v>37.8505305</v>
      </c>
      <c r="O96" s="58" t="n">
        <f aca="false">M96*N96</f>
        <v>11218.8972402</v>
      </c>
      <c r="P96" s="58" t="n">
        <f aca="false">IF(I96="Y",M96*J96%*'basic parameter'!$C$7*'basic parameter'!$C$9,0)</f>
        <v>0</v>
      </c>
      <c r="Q96" s="58" t="n">
        <f aca="false">MAX(O96-P96,0)</f>
        <v>11218.8972402</v>
      </c>
      <c r="R96" s="1" t="str">
        <f aca="false">IF(K96&gt;='basic parameter'!$C$8,"Y","N")</f>
        <v>Y</v>
      </c>
      <c r="S96" s="58" t="n">
        <f aca="false">IF(R96="Y",'basic parameter'!$C$11,0)</f>
        <v>5000</v>
      </c>
      <c r="T96" s="58" t="n">
        <f aca="false">E96*'basic parameter'!$C$10</f>
        <v>375</v>
      </c>
      <c r="U96" s="61" t="n">
        <f aca="false">('basic parameter'!$C$3*E96-L96)*N96+P96+S96-T96</f>
        <v>3262.380902</v>
      </c>
    </row>
    <row r="97" customFormat="false" ht="14.25" hidden="false" customHeight="true" outlineLevel="0" collapsed="false">
      <c r="A97" s="1" t="n">
        <v>96</v>
      </c>
      <c r="B97" s="1" t="s">
        <v>314</v>
      </c>
      <c r="C97" s="56" t="n">
        <v>46472</v>
      </c>
      <c r="D97" s="1" t="s">
        <v>224</v>
      </c>
      <c r="E97" s="57" t="n">
        <v>750</v>
      </c>
      <c r="F97" s="1" t="s">
        <v>214</v>
      </c>
      <c r="G97" s="1" t="n">
        <v>0.44</v>
      </c>
      <c r="H97" s="57" t="n">
        <v>30</v>
      </c>
      <c r="I97" s="1" t="s">
        <v>135</v>
      </c>
      <c r="J97" s="1" t="n">
        <v>80</v>
      </c>
      <c r="K97" s="58" t="n">
        <v>642476</v>
      </c>
      <c r="L97" s="59" t="n">
        <f aca="false">IF(G97&lt;&gt;"",E97*G97,E97*'basic parameter'!$C$3)</f>
        <v>330</v>
      </c>
      <c r="M97" s="59" t="n">
        <f aca="false">L97-(H97*'basic parameter'!$C$12)</f>
        <v>321</v>
      </c>
      <c r="N97" s="60" t="n">
        <f aca="false">'basic parameter'!$C$2*'basic parameter'!$C$6</f>
        <v>37.8505305</v>
      </c>
      <c r="O97" s="58" t="n">
        <f aca="false">M97*N97</f>
        <v>12150.0202905</v>
      </c>
      <c r="P97" s="58" t="n">
        <f aca="false">IF(I97="Y",M97*J97%*'basic parameter'!$C$7*'basic parameter'!$C$9,0)</f>
        <v>2850.48</v>
      </c>
      <c r="Q97" s="58" t="n">
        <f aca="false">MAX(O97-P97,0)</f>
        <v>9299.5402905</v>
      </c>
      <c r="R97" s="1" t="str">
        <f aca="false">IF(K97&gt;='basic parameter'!$C$8,"Y","N")</f>
        <v>Y</v>
      </c>
      <c r="S97" s="58" t="n">
        <f aca="false">IF(R97="Y",'basic parameter'!$C$11,0)</f>
        <v>5000</v>
      </c>
      <c r="T97" s="58" t="n">
        <f aca="false">E97*'basic parameter'!$C$10</f>
        <v>1875</v>
      </c>
      <c r="U97" s="61" t="n">
        <f aca="false">('basic parameter'!$C$3*E97-L97)*N97+P97+S97-T97</f>
        <v>44583.02111</v>
      </c>
    </row>
    <row r="98" customFormat="false" ht="14.25" hidden="false" customHeight="true" outlineLevel="0" collapsed="false">
      <c r="A98" s="1" t="n">
        <v>97</v>
      </c>
      <c r="B98" s="1" t="s">
        <v>315</v>
      </c>
      <c r="C98" s="56" t="n">
        <v>46406</v>
      </c>
      <c r="D98" s="1" t="s">
        <v>150</v>
      </c>
      <c r="E98" s="57" t="n">
        <v>2000</v>
      </c>
      <c r="F98" s="1" t="s">
        <v>214</v>
      </c>
      <c r="G98" s="1" t="n">
        <v>0.79</v>
      </c>
      <c r="H98" s="57" t="n">
        <v>309</v>
      </c>
      <c r="I98" s="1" t="s">
        <v>24</v>
      </c>
      <c r="J98" s="1" t="n">
        <v>0</v>
      </c>
      <c r="K98" s="58" t="n">
        <v>1506200</v>
      </c>
      <c r="L98" s="59" t="n">
        <f aca="false">IF(G98&lt;&gt;"",E98*G98,E98*'basic parameter'!$C$3)</f>
        <v>1580</v>
      </c>
      <c r="M98" s="59" t="n">
        <f aca="false">L98-(H98*'basic parameter'!$C$12)</f>
        <v>1487.3</v>
      </c>
      <c r="N98" s="60" t="n">
        <f aca="false">'basic parameter'!$C$2*'basic parameter'!$C$6</f>
        <v>37.8505305</v>
      </c>
      <c r="O98" s="58" t="n">
        <f aca="false">M98*N98</f>
        <v>56295.09401265</v>
      </c>
      <c r="P98" s="58" t="n">
        <f aca="false">IF(I98="Y",M98*J98%*'basic parameter'!$C$7*'basic parameter'!$C$9,0)</f>
        <v>0</v>
      </c>
      <c r="Q98" s="58" t="n">
        <f aca="false">MAX(O98-P98,0)</f>
        <v>56295.09401265</v>
      </c>
      <c r="R98" s="1" t="str">
        <f aca="false">IF(K98&gt;='basic parameter'!$C$8,"Y","N")</f>
        <v>Y</v>
      </c>
      <c r="S98" s="58" t="n">
        <f aca="false">IF(R98="Y",'basic parameter'!$C$11,0)</f>
        <v>5000</v>
      </c>
      <c r="T98" s="58" t="n">
        <f aca="false">E98*'basic parameter'!$C$10</f>
        <v>5000</v>
      </c>
      <c r="U98" s="61" t="n">
        <f aca="false">('basic parameter'!$C$3*E98-L98)*N98+P98+S98-T98</f>
        <v>76458.07161</v>
      </c>
    </row>
    <row r="99" customFormat="false" ht="14.25" hidden="false" customHeight="true" outlineLevel="0" collapsed="false">
      <c r="A99" s="1" t="n">
        <v>98</v>
      </c>
      <c r="B99" s="1" t="s">
        <v>316</v>
      </c>
      <c r="C99" s="56" t="n">
        <v>46416</v>
      </c>
      <c r="D99" s="1" t="s">
        <v>160</v>
      </c>
      <c r="E99" s="57" t="n">
        <v>150</v>
      </c>
      <c r="F99" s="1" t="s">
        <v>16</v>
      </c>
      <c r="G99" s="1" t="n">
        <v>1.8</v>
      </c>
      <c r="H99" s="57" t="n">
        <v>19</v>
      </c>
      <c r="I99" s="1" t="s">
        <v>135</v>
      </c>
      <c r="J99" s="1" t="n">
        <v>80</v>
      </c>
      <c r="K99" s="58" t="n">
        <v>169411</v>
      </c>
      <c r="L99" s="59" t="n">
        <f aca="false">IF(G99&lt;&gt;"",E99*G99,E99*'basic parameter'!$C$3)</f>
        <v>270</v>
      </c>
      <c r="M99" s="59" t="n">
        <f aca="false">L99-(H99*'basic parameter'!$C$12)</f>
        <v>264.3</v>
      </c>
      <c r="N99" s="60" t="n">
        <f aca="false">'basic parameter'!$C$2*'basic parameter'!$C$6</f>
        <v>37.8505305</v>
      </c>
      <c r="O99" s="58" t="n">
        <f aca="false">M99*N99</f>
        <v>10003.89521115</v>
      </c>
      <c r="P99" s="58" t="n">
        <f aca="false">IF(I99="Y",M99*J99%*'basic parameter'!$C$7*'basic parameter'!$C$9,0)</f>
        <v>2346.984</v>
      </c>
      <c r="Q99" s="58" t="n">
        <f aca="false">MAX(O99-P99,0)</f>
        <v>7656.91121115</v>
      </c>
      <c r="R99" s="1" t="str">
        <f aca="false">IF(K99&gt;='basic parameter'!$C$8,"Y","N")</f>
        <v>Y</v>
      </c>
      <c r="S99" s="58" t="n">
        <f aca="false">IF(R99="Y",'basic parameter'!$C$11,0)</f>
        <v>5000</v>
      </c>
      <c r="T99" s="58" t="n">
        <f aca="false">E99*'basic parameter'!$C$10</f>
        <v>375</v>
      </c>
      <c r="U99" s="61" t="n">
        <f aca="false">('basic parameter'!$C$3*E99-L99)*N99+P99+S99-T99</f>
        <v>6971.984</v>
      </c>
    </row>
    <row r="100" customFormat="false" ht="14.25" hidden="false" customHeight="true" outlineLevel="0" collapsed="false">
      <c r="A100" s="1" t="n">
        <v>99</v>
      </c>
      <c r="B100" s="1" t="s">
        <v>317</v>
      </c>
      <c r="C100" s="56" t="n">
        <v>46495</v>
      </c>
      <c r="D100" s="1" t="s">
        <v>10</v>
      </c>
      <c r="E100" s="57" t="n">
        <v>750</v>
      </c>
      <c r="F100" s="1" t="s">
        <v>16</v>
      </c>
      <c r="G100" s="1" t="n">
        <v>2.64</v>
      </c>
      <c r="H100" s="57" t="n">
        <v>187</v>
      </c>
      <c r="I100" s="1" t="s">
        <v>24</v>
      </c>
      <c r="J100" s="1" t="n">
        <v>0</v>
      </c>
      <c r="K100" s="58" t="n">
        <v>850750</v>
      </c>
      <c r="L100" s="59" t="n">
        <f aca="false">IF(G100&lt;&gt;"",E100*G100,E100*'basic parameter'!$C$3)</f>
        <v>1980</v>
      </c>
      <c r="M100" s="59" t="n">
        <f aca="false">L100-(H100*'basic parameter'!$C$12)</f>
        <v>1923.9</v>
      </c>
      <c r="N100" s="60" t="n">
        <f aca="false">'basic parameter'!$C$2*'basic parameter'!$C$6</f>
        <v>37.8505305</v>
      </c>
      <c r="O100" s="58" t="n">
        <f aca="false">M100*N100</f>
        <v>72820.63562895</v>
      </c>
      <c r="P100" s="58" t="n">
        <f aca="false">IF(I100="Y",M100*J100%*'basic parameter'!$C$7*'basic parameter'!$C$9,0)</f>
        <v>0</v>
      </c>
      <c r="Q100" s="58" t="n">
        <f aca="false">MAX(O100-P100,0)</f>
        <v>72820.63562895</v>
      </c>
      <c r="R100" s="1" t="str">
        <f aca="false">IF(K100&gt;='basic parameter'!$C$8,"Y","N")</f>
        <v>Y</v>
      </c>
      <c r="S100" s="58" t="n">
        <f aca="false">IF(R100="Y",'basic parameter'!$C$11,0)</f>
        <v>5000</v>
      </c>
      <c r="T100" s="58" t="n">
        <f aca="false">E100*'basic parameter'!$C$10</f>
        <v>1875</v>
      </c>
      <c r="U100" s="61" t="n">
        <f aca="false">('basic parameter'!$C$3*E100-L100)*N100+P100+S100-T100</f>
        <v>-20720.834215</v>
      </c>
    </row>
    <row r="101" customFormat="false" ht="14.25" hidden="false" customHeight="true" outlineLevel="0" collapsed="false">
      <c r="A101" s="1" t="n">
        <v>100</v>
      </c>
      <c r="B101" s="1" t="s">
        <v>318</v>
      </c>
      <c r="C101" s="56" t="n">
        <v>46482</v>
      </c>
      <c r="D101" s="1" t="s">
        <v>142</v>
      </c>
      <c r="E101" s="57" t="n">
        <v>1000</v>
      </c>
      <c r="F101" s="1" t="s">
        <v>214</v>
      </c>
      <c r="G101" s="1" t="n">
        <v>0.59</v>
      </c>
      <c r="H101" s="57" t="n">
        <v>207</v>
      </c>
      <c r="I101" s="1" t="s">
        <v>24</v>
      </c>
      <c r="J101" s="1" t="n">
        <v>0</v>
      </c>
      <c r="K101" s="58" t="n">
        <v>818470</v>
      </c>
      <c r="L101" s="59" t="n">
        <f aca="false">IF(G101&lt;&gt;"",E101*G101,E101*'basic parameter'!$C$3)</f>
        <v>590</v>
      </c>
      <c r="M101" s="59" t="n">
        <f aca="false">L101-(H101*'basic parameter'!$C$12)</f>
        <v>527.9</v>
      </c>
      <c r="N101" s="60" t="n">
        <f aca="false">'basic parameter'!$C$2*'basic parameter'!$C$6</f>
        <v>37.8505305</v>
      </c>
      <c r="O101" s="58" t="n">
        <f aca="false">M101*N101</f>
        <v>19981.29505095</v>
      </c>
      <c r="P101" s="58" t="n">
        <f aca="false">IF(I101="Y",M101*J101%*'basic parameter'!$C$7*'basic parameter'!$C$9,0)</f>
        <v>0</v>
      </c>
      <c r="Q101" s="58" t="n">
        <f aca="false">MAX(O101-P101,0)</f>
        <v>19981.29505095</v>
      </c>
      <c r="R101" s="1" t="str">
        <f aca="false">IF(K101&gt;='basic parameter'!$C$8,"Y","N")</f>
        <v>Y</v>
      </c>
      <c r="S101" s="58" t="n">
        <f aca="false">IF(R101="Y",'basic parameter'!$C$11,0)</f>
        <v>5000</v>
      </c>
      <c r="T101" s="58" t="n">
        <f aca="false">E101*'basic parameter'!$C$10</f>
        <v>2500</v>
      </c>
      <c r="U101" s="61" t="n">
        <f aca="false">('basic parameter'!$C$3*E101-L101)*N101+P101+S101-T101</f>
        <v>48299.141905</v>
      </c>
    </row>
    <row r="104" customFormat="false" ht="15" hidden="false" customHeight="true" outlineLevel="0" collapsed="false">
      <c r="B104" s="62" t="s">
        <v>319</v>
      </c>
      <c r="D104" s="45" t="s">
        <v>320</v>
      </c>
      <c r="E104" s="57" t="n">
        <f aca="false">SUM(E2:E101)</f>
        <v>136000</v>
      </c>
    </row>
    <row r="105" customFormat="false" ht="14.25" hidden="false" customHeight="true" outlineLevel="0" collapsed="false">
      <c r="D105" s="45" t="s">
        <v>321</v>
      </c>
      <c r="E105" s="57" t="n">
        <f aca="false">SUM(L2:L101)</f>
        <v>187533</v>
      </c>
    </row>
    <row r="106" customFormat="false" ht="14.25" hidden="false" customHeight="true" outlineLevel="0" collapsed="false">
      <c r="D106" s="45" t="s">
        <v>322</v>
      </c>
      <c r="E106" s="58" t="n">
        <f aca="false">SUM(Q2:Q101)</f>
        <v>5710915.25204175</v>
      </c>
    </row>
    <row r="107" customFormat="false" ht="14.25" hidden="false" customHeight="true" outlineLevel="0" collapsed="false">
      <c r="D107" s="45" t="s">
        <v>323</v>
      </c>
      <c r="E107" s="58" t="n">
        <f aca="false">SUM(P2:P101)</f>
        <v>1184448.366</v>
      </c>
    </row>
    <row r="108" customFormat="false" ht="14.25" hidden="false" customHeight="true" outlineLevel="0" collapsed="false">
      <c r="D108" s="45" t="s">
        <v>324</v>
      </c>
      <c r="E108" s="58" t="n">
        <f aca="false">AVERAGE(Q2:Q101)</f>
        <v>57109.1525204175</v>
      </c>
    </row>
    <row r="109" customFormat="false" ht="14.25" hidden="false" customHeight="true" outlineLevel="0" collapsed="false">
      <c r="D109" s="45" t="s">
        <v>325</v>
      </c>
      <c r="E109" s="57" t="n">
        <f aca="false">COUNTIF(Q2:Q101,"&gt;"&amp;'basic parameter'!C16)</f>
        <v>84</v>
      </c>
    </row>
    <row r="111" customFormat="false" ht="14.25" hidden="false" customHeight="true" outlineLevel="0" collapsed="false">
      <c r="B111" s="63" t="s">
        <v>326</v>
      </c>
      <c r="C111" s="63"/>
      <c r="D111" s="63"/>
      <c r="E111" s="63"/>
      <c r="F111" s="63"/>
      <c r="G111" s="63"/>
      <c r="H111" s="63"/>
      <c r="I111" s="63"/>
      <c r="J111" s="63"/>
    </row>
  </sheetData>
  <mergeCells count="1">
    <mergeCell ref="B111:J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39" activeCellId="0" sqref="D3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1.77"/>
    <col collapsed="false" customWidth="true" hidden="false" outlineLevel="0" max="4" min="4" style="1" width="26.56"/>
    <col collapsed="false" customWidth="true" hidden="false" outlineLevel="0" max="5" min="5" style="1" width="18.44"/>
    <col collapsed="false" customWidth="true" hidden="false" outlineLevel="0" max="6" min="6" style="1" width="20.44"/>
  </cols>
  <sheetData>
    <row r="1" customFormat="false" ht="55.5" hidden="false" customHeight="true" outlineLevel="0" collapsed="false">
      <c r="A1" s="64" t="s">
        <v>327</v>
      </c>
      <c r="B1" s="64" t="s">
        <v>328</v>
      </c>
      <c r="C1" s="64" t="s">
        <v>329</v>
      </c>
      <c r="D1" s="64" t="s">
        <v>330</v>
      </c>
      <c r="E1" s="64" t="s">
        <v>331</v>
      </c>
      <c r="F1" s="65" t="s">
        <v>332</v>
      </c>
    </row>
    <row r="2" customFormat="false" ht="27.75" hidden="false" customHeight="true" outlineLevel="0" collapsed="false">
      <c r="A2" s="66" t="s">
        <v>333</v>
      </c>
      <c r="B2" s="66" t="s">
        <v>334</v>
      </c>
      <c r="C2" s="66" t="s">
        <v>335</v>
      </c>
      <c r="D2" s="66" t="n">
        <v>123.8811</v>
      </c>
      <c r="E2" s="66" t="s">
        <v>336</v>
      </c>
      <c r="F2" s="67" t="s">
        <v>337</v>
      </c>
    </row>
    <row r="3" customFormat="false" ht="27.75" hidden="false" customHeight="true" outlineLevel="0" collapsed="false">
      <c r="A3" s="66" t="s">
        <v>333</v>
      </c>
      <c r="B3" s="66" t="s">
        <v>334</v>
      </c>
      <c r="C3" s="66" t="s">
        <v>335</v>
      </c>
      <c r="D3" s="66" t="n">
        <v>123.0663</v>
      </c>
      <c r="E3" s="66" t="s">
        <v>338</v>
      </c>
      <c r="F3" s="67" t="s">
        <v>339</v>
      </c>
    </row>
    <row r="4" customFormat="false" ht="27.75" hidden="false" customHeight="true" outlineLevel="0" collapsed="false">
      <c r="A4" s="66" t="s">
        <v>333</v>
      </c>
      <c r="B4" s="66" t="s">
        <v>334</v>
      </c>
      <c r="C4" s="66" t="s">
        <v>335</v>
      </c>
      <c r="D4" s="66" t="n">
        <v>122.8717</v>
      </c>
      <c r="E4" s="66" t="s">
        <v>340</v>
      </c>
      <c r="F4" s="67" t="s">
        <v>341</v>
      </c>
    </row>
    <row r="5" customFormat="false" ht="27.75" hidden="false" customHeight="true" outlineLevel="0" collapsed="false">
      <c r="A5" s="66" t="s">
        <v>333</v>
      </c>
      <c r="B5" s="66" t="s">
        <v>334</v>
      </c>
      <c r="C5" s="66" t="s">
        <v>335</v>
      </c>
      <c r="D5" s="66" t="n">
        <v>120.4728</v>
      </c>
      <c r="E5" s="66" t="s">
        <v>342</v>
      </c>
      <c r="F5" s="67" t="s">
        <v>343</v>
      </c>
    </row>
    <row r="6" customFormat="false" ht="27.75" hidden="false" customHeight="true" outlineLevel="0" collapsed="false">
      <c r="A6" s="66" t="s">
        <v>333</v>
      </c>
      <c r="B6" s="66" t="s">
        <v>334</v>
      </c>
      <c r="C6" s="66" t="s">
        <v>335</v>
      </c>
      <c r="D6" s="66" t="n">
        <v>116.2366</v>
      </c>
      <c r="E6" s="66" t="s">
        <v>344</v>
      </c>
      <c r="F6" s="67" t="s">
        <v>345</v>
      </c>
    </row>
    <row r="7" customFormat="false" ht="27.75" hidden="false" customHeight="true" outlineLevel="0" collapsed="false">
      <c r="A7" s="66" t="s">
        <v>333</v>
      </c>
      <c r="B7" s="66" t="s">
        <v>334</v>
      </c>
      <c r="C7" s="66" t="s">
        <v>335</v>
      </c>
      <c r="D7" s="66" t="n">
        <v>116.9491</v>
      </c>
      <c r="E7" s="66" t="s">
        <v>346</v>
      </c>
      <c r="F7" s="67" t="s">
        <v>347</v>
      </c>
    </row>
    <row r="8" customFormat="false" ht="27.75" hidden="false" customHeight="true" outlineLevel="0" collapsed="false">
      <c r="A8" s="66" t="s">
        <v>333</v>
      </c>
      <c r="B8" s="66" t="s">
        <v>334</v>
      </c>
      <c r="C8" s="66" t="s">
        <v>335</v>
      </c>
      <c r="D8" s="66" t="n">
        <v>119.8786</v>
      </c>
      <c r="E8" s="66" t="s">
        <v>348</v>
      </c>
      <c r="F8" s="67" t="s">
        <v>349</v>
      </c>
    </row>
    <row r="9" customFormat="false" ht="27.75" hidden="false" customHeight="true" outlineLevel="0" collapsed="false">
      <c r="A9" s="66" t="s">
        <v>333</v>
      </c>
      <c r="B9" s="66" t="s">
        <v>334</v>
      </c>
      <c r="C9" s="66" t="s">
        <v>335</v>
      </c>
      <c r="D9" s="66" t="n">
        <v>117.3193</v>
      </c>
      <c r="E9" s="66" t="s">
        <v>350</v>
      </c>
      <c r="F9" s="67" t="s">
        <v>351</v>
      </c>
    </row>
    <row r="10" customFormat="false" ht="27.75" hidden="false" customHeight="true" outlineLevel="0" collapsed="false">
      <c r="A10" s="66" t="s">
        <v>333</v>
      </c>
      <c r="B10" s="66" t="s">
        <v>334</v>
      </c>
      <c r="C10" s="66" t="s">
        <v>335</v>
      </c>
      <c r="D10" s="66" t="n">
        <v>117.0133</v>
      </c>
      <c r="E10" s="66" t="s">
        <v>352</v>
      </c>
      <c r="F10" s="67" t="s">
        <v>353</v>
      </c>
    </row>
    <row r="11" customFormat="false" ht="27.75" hidden="false" customHeight="true" outlineLevel="0" collapsed="false">
      <c r="A11" s="66" t="s">
        <v>333</v>
      </c>
      <c r="B11" s="66" t="s">
        <v>334</v>
      </c>
      <c r="C11" s="66" t="s">
        <v>335</v>
      </c>
      <c r="D11" s="66" t="n">
        <v>116.2816</v>
      </c>
      <c r="E11" s="66" t="s">
        <v>354</v>
      </c>
      <c r="F11" s="67" t="s">
        <v>355</v>
      </c>
    </row>
    <row r="12" customFormat="false" ht="27.75" hidden="false" customHeight="true" outlineLevel="0" collapsed="false">
      <c r="A12" s="66" t="s">
        <v>333</v>
      </c>
      <c r="B12" s="66" t="s">
        <v>334</v>
      </c>
      <c r="C12" s="66" t="s">
        <v>335</v>
      </c>
      <c r="D12" s="66" t="n">
        <v>114.7937</v>
      </c>
      <c r="E12" s="66" t="s">
        <v>356</v>
      </c>
      <c r="F12" s="67" t="s">
        <v>357</v>
      </c>
    </row>
    <row r="13" customFormat="false" ht="27.75" hidden="false" customHeight="true" outlineLevel="0" collapsed="false">
      <c r="A13" s="66" t="s">
        <v>333</v>
      </c>
      <c r="B13" s="66" t="s">
        <v>334</v>
      </c>
      <c r="C13" s="66" t="s">
        <v>335</v>
      </c>
      <c r="D13" s="66" t="n">
        <v>113.6384</v>
      </c>
      <c r="E13" s="66" t="s">
        <v>358</v>
      </c>
      <c r="F13" s="67" t="s">
        <v>359</v>
      </c>
    </row>
    <row r="14" customFormat="false" ht="27.75" hidden="false" customHeight="true" outlineLevel="0" collapsed="false">
      <c r="A14" s="66" t="s">
        <v>333</v>
      </c>
      <c r="B14" s="66" t="s">
        <v>334</v>
      </c>
      <c r="C14" s="66" t="s">
        <v>335</v>
      </c>
      <c r="D14" s="66" t="n">
        <v>112.0633</v>
      </c>
      <c r="E14" s="66" t="s">
        <v>360</v>
      </c>
      <c r="F14" s="67" t="s">
        <v>361</v>
      </c>
    </row>
    <row r="15" customFormat="false" ht="27.75" hidden="false" customHeight="true" outlineLevel="0" collapsed="false">
      <c r="A15" s="66" t="s">
        <v>333</v>
      </c>
      <c r="B15" s="66" t="s">
        <v>334</v>
      </c>
      <c r="C15" s="66" t="s">
        <v>335</v>
      </c>
      <c r="D15" s="66" t="n">
        <v>109.3298</v>
      </c>
      <c r="E15" s="66" t="s">
        <v>362</v>
      </c>
      <c r="F15" s="67" t="s">
        <v>363</v>
      </c>
    </row>
    <row r="16" customFormat="false" ht="27.75" hidden="false" customHeight="true" outlineLevel="0" collapsed="false">
      <c r="A16" s="66" t="s">
        <v>364</v>
      </c>
      <c r="B16" s="66" t="s">
        <v>334</v>
      </c>
      <c r="C16" s="66" t="s">
        <v>335</v>
      </c>
      <c r="D16" s="66" t="n">
        <v>106.7843</v>
      </c>
      <c r="E16" s="66" t="s">
        <v>365</v>
      </c>
      <c r="F16" s="67" t="s">
        <v>366</v>
      </c>
    </row>
    <row r="17" customFormat="false" ht="27.75" hidden="false" customHeight="true" outlineLevel="0" collapsed="false">
      <c r="A17" s="66" t="s">
        <v>333</v>
      </c>
      <c r="B17" s="66" t="s">
        <v>334</v>
      </c>
      <c r="C17" s="66" t="s">
        <v>335</v>
      </c>
      <c r="D17" s="66" t="n">
        <v>107.9353</v>
      </c>
      <c r="E17" s="66" t="s">
        <v>367</v>
      </c>
      <c r="F17" s="67" t="s">
        <v>368</v>
      </c>
    </row>
    <row r="18" customFormat="false" ht="27.75" hidden="false" customHeight="true" outlineLevel="0" collapsed="false">
      <c r="A18" s="66" t="s">
        <v>333</v>
      </c>
      <c r="B18" s="66" t="s">
        <v>334</v>
      </c>
      <c r="C18" s="66" t="s">
        <v>335</v>
      </c>
      <c r="D18" s="66" t="n">
        <v>106.8337</v>
      </c>
      <c r="E18" s="66" t="s">
        <v>369</v>
      </c>
      <c r="F18" s="67" t="s">
        <v>370</v>
      </c>
    </row>
    <row r="19" customFormat="false" ht="27.75" hidden="false" customHeight="true" outlineLevel="0" collapsed="false">
      <c r="A19" s="66" t="s">
        <v>333</v>
      </c>
      <c r="B19" s="66" t="s">
        <v>334</v>
      </c>
      <c r="C19" s="66" t="s">
        <v>335</v>
      </c>
      <c r="D19" s="66" t="n">
        <v>108.9029</v>
      </c>
      <c r="E19" s="66" t="s">
        <v>371</v>
      </c>
      <c r="F19" s="67" t="s">
        <v>372</v>
      </c>
    </row>
    <row r="20" customFormat="false" ht="27.75" hidden="false" customHeight="true" outlineLevel="0" collapsed="false">
      <c r="A20" s="66" t="s">
        <v>333</v>
      </c>
      <c r="B20" s="66" t="s">
        <v>334</v>
      </c>
      <c r="C20" s="66" t="s">
        <v>335</v>
      </c>
      <c r="D20" s="66" t="n">
        <v>110.5997</v>
      </c>
      <c r="E20" s="66" t="s">
        <v>373</v>
      </c>
      <c r="F20" s="67" t="s">
        <v>374</v>
      </c>
    </row>
    <row r="21" customFormat="false" ht="27.75" hidden="false" customHeight="true" outlineLevel="0" collapsed="false">
      <c r="A21" s="66" t="s">
        <v>333</v>
      </c>
      <c r="B21" s="66" t="s">
        <v>334</v>
      </c>
      <c r="C21" s="66" t="s">
        <v>335</v>
      </c>
      <c r="D21" s="66" t="n">
        <v>109.36</v>
      </c>
      <c r="E21" s="66" t="s">
        <v>375</v>
      </c>
      <c r="F21" s="67" t="s">
        <v>376</v>
      </c>
    </row>
    <row r="22" customFormat="false" ht="27.75" hidden="false" customHeight="true" outlineLevel="0" collapsed="false">
      <c r="A22" s="66" t="s">
        <v>333</v>
      </c>
      <c r="B22" s="66" t="s">
        <v>334</v>
      </c>
      <c r="C22" s="66" t="s">
        <v>335</v>
      </c>
      <c r="D22" s="66" t="n">
        <v>108.9003</v>
      </c>
      <c r="E22" s="66" t="s">
        <v>377</v>
      </c>
      <c r="F22" s="67" t="s">
        <v>378</v>
      </c>
    </row>
    <row r="23" customFormat="false" ht="27.75" hidden="false" customHeight="true" outlineLevel="0" collapsed="false">
      <c r="A23" s="66" t="s">
        <v>364</v>
      </c>
      <c r="B23" s="66" t="s">
        <v>334</v>
      </c>
      <c r="C23" s="66" t="s">
        <v>335</v>
      </c>
      <c r="D23" s="66" t="n">
        <v>106.2292</v>
      </c>
      <c r="E23" s="66" t="s">
        <v>379</v>
      </c>
      <c r="F23" s="67" t="s">
        <v>380</v>
      </c>
    </row>
    <row r="24" customFormat="false" ht="27.75" hidden="false" customHeight="true" outlineLevel="0" collapsed="false">
      <c r="A24" s="66" t="s">
        <v>333</v>
      </c>
      <c r="B24" s="66" t="s">
        <v>334</v>
      </c>
      <c r="C24" s="66" t="s">
        <v>335</v>
      </c>
      <c r="D24" s="66" t="n">
        <v>105.8672</v>
      </c>
      <c r="E24" s="66" t="s">
        <v>381</v>
      </c>
      <c r="F24" s="67" t="s">
        <v>382</v>
      </c>
    </row>
    <row r="25" customFormat="false" ht="27.75" hidden="false" customHeight="true" outlineLevel="0" collapsed="false">
      <c r="A25" s="66" t="s">
        <v>333</v>
      </c>
      <c r="B25" s="66" t="s">
        <v>334</v>
      </c>
      <c r="C25" s="66" t="s">
        <v>335</v>
      </c>
      <c r="D25" s="66" t="n">
        <v>104.2174</v>
      </c>
      <c r="E25" s="66" t="s">
        <v>383</v>
      </c>
      <c r="F25" s="67" t="s">
        <v>384</v>
      </c>
    </row>
    <row r="26" customFormat="false" ht="27.75" hidden="false" customHeight="true" outlineLevel="0" collapsed="false">
      <c r="A26" s="66" t="s">
        <v>333</v>
      </c>
      <c r="B26" s="66" t="s">
        <v>334</v>
      </c>
      <c r="C26" s="66" t="s">
        <v>335</v>
      </c>
      <c r="D26" s="66" t="n">
        <v>105.5819</v>
      </c>
      <c r="E26" s="66" t="s">
        <v>385</v>
      </c>
      <c r="F26" s="67" t="s">
        <v>386</v>
      </c>
    </row>
    <row r="27" customFormat="false" ht="27.75" hidden="false" customHeight="true" outlineLevel="0" collapsed="false">
      <c r="A27" s="66" t="s">
        <v>333</v>
      </c>
      <c r="B27" s="66" t="s">
        <v>334</v>
      </c>
      <c r="C27" s="66" t="s">
        <v>335</v>
      </c>
      <c r="D27" s="66" t="n">
        <v>104.6369</v>
      </c>
      <c r="E27" s="66" t="s">
        <v>387</v>
      </c>
      <c r="F27" s="67" t="s">
        <v>388</v>
      </c>
    </row>
    <row r="28" customFormat="false" ht="27.75" hidden="false" customHeight="true" outlineLevel="0" collapsed="false">
      <c r="A28" s="66" t="s">
        <v>333</v>
      </c>
      <c r="B28" s="66" t="s">
        <v>334</v>
      </c>
      <c r="C28" s="66" t="s">
        <v>335</v>
      </c>
      <c r="D28" s="66" t="n">
        <v>105.5103</v>
      </c>
      <c r="E28" s="66" t="s">
        <v>389</v>
      </c>
      <c r="F28" s="67" t="s">
        <v>390</v>
      </c>
    </row>
    <row r="29" customFormat="false" ht="27.75" hidden="false" customHeight="true" outlineLevel="0" collapsed="false">
      <c r="A29" s="66" t="s">
        <v>333</v>
      </c>
      <c r="B29" s="66" t="s">
        <v>334</v>
      </c>
      <c r="C29" s="66" t="s">
        <v>335</v>
      </c>
      <c r="D29" s="66" t="n">
        <v>105.2457</v>
      </c>
      <c r="E29" s="66" t="s">
        <v>391</v>
      </c>
      <c r="F29" s="67" t="s">
        <v>392</v>
      </c>
    </row>
    <row r="30" customFormat="false" ht="54.75" hidden="false" customHeight="true" outlineLevel="0" collapsed="false">
      <c r="A30" s="68" t="s">
        <v>393</v>
      </c>
    </row>
    <row r="31" customFormat="false" ht="14.25" hidden="false" customHeight="true" outlineLevel="0" collapsed="false">
      <c r="A31" s="68" t="s">
        <v>394</v>
      </c>
      <c r="B31" s="22" t="s">
        <v>395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4" activeCellId="0" sqref="B64"/>
    </sheetView>
  </sheetViews>
  <sheetFormatPr defaultColWidth="8.66796875" defaultRowHeight="14.25" zeroHeight="false" outlineLevelRow="0" outlineLevelCol="0"/>
  <sheetData>
    <row r="1" customFormat="false" ht="14.25" hidden="false" customHeight="true" outlineLevel="0" collapsed="false">
      <c r="A1" s="22" t="s">
        <v>396</v>
      </c>
      <c r="B1" s="22" t="s">
        <v>397</v>
      </c>
      <c r="C1" s="22" t="s">
        <v>398</v>
      </c>
      <c r="D1" s="22" t="s">
        <v>399</v>
      </c>
      <c r="E1" s="22" t="s">
        <v>400</v>
      </c>
      <c r="F1" s="22" t="s">
        <v>401</v>
      </c>
      <c r="G1" s="22" t="s">
        <v>402</v>
      </c>
      <c r="H1" s="22" t="s">
        <v>403</v>
      </c>
      <c r="I1" s="22" t="s">
        <v>404</v>
      </c>
      <c r="J1" s="22" t="s">
        <v>405</v>
      </c>
      <c r="K1" s="22" t="s">
        <v>406</v>
      </c>
      <c r="L1" s="22" t="s">
        <v>407</v>
      </c>
      <c r="M1" s="22" t="s">
        <v>408</v>
      </c>
      <c r="N1" s="22" t="s">
        <v>409</v>
      </c>
      <c r="O1" s="22" t="s">
        <v>410</v>
      </c>
      <c r="P1" s="22" t="s">
        <v>411</v>
      </c>
      <c r="Q1" s="22" t="s">
        <v>412</v>
      </c>
      <c r="R1" s="22" t="s">
        <v>413</v>
      </c>
      <c r="S1" s="22" t="s">
        <v>414</v>
      </c>
      <c r="T1" s="22" t="s">
        <v>415</v>
      </c>
      <c r="U1" s="69" t="s">
        <v>416</v>
      </c>
      <c r="V1" s="22" t="s">
        <v>417</v>
      </c>
      <c r="W1" s="22" t="s">
        <v>418</v>
      </c>
      <c r="X1" s="22" t="s">
        <v>419</v>
      </c>
      <c r="Y1" s="22" t="s">
        <v>420</v>
      </c>
      <c r="Z1" s="22" t="s">
        <v>421</v>
      </c>
      <c r="AA1" s="22" t="s">
        <v>422</v>
      </c>
      <c r="AB1" s="22" t="s">
        <v>423</v>
      </c>
      <c r="AC1" s="22" t="s">
        <v>424</v>
      </c>
      <c r="AD1" s="22" t="s">
        <v>425</v>
      </c>
      <c r="AE1" s="22" t="s">
        <v>426</v>
      </c>
      <c r="AF1" s="22" t="s">
        <v>427</v>
      </c>
      <c r="AG1" s="22" t="s">
        <v>428</v>
      </c>
      <c r="AH1" s="22" t="s">
        <v>429</v>
      </c>
      <c r="AI1" s="22" t="s">
        <v>430</v>
      </c>
      <c r="AJ1" s="22" t="s">
        <v>431</v>
      </c>
      <c r="AK1" s="22" t="s">
        <v>432</v>
      </c>
      <c r="AL1" s="70" t="s">
        <v>433</v>
      </c>
      <c r="AM1" s="22" t="s">
        <v>434</v>
      </c>
      <c r="AN1" s="22" t="s">
        <v>435</v>
      </c>
      <c r="AO1" s="22" t="s">
        <v>436</v>
      </c>
      <c r="AP1" s="22" t="s">
        <v>437</v>
      </c>
      <c r="AQ1" s="22" t="s">
        <v>438</v>
      </c>
      <c r="AR1" s="70" t="s">
        <v>439</v>
      </c>
      <c r="AS1" s="22" t="s">
        <v>440</v>
      </c>
      <c r="AT1" s="22" t="s">
        <v>441</v>
      </c>
      <c r="AU1" s="22" t="s">
        <v>442</v>
      </c>
    </row>
    <row r="2" customFormat="false" ht="14.25" hidden="false" customHeight="true" outlineLevel="0" collapsed="false">
      <c r="A2" s="22" t="s">
        <v>443</v>
      </c>
      <c r="B2" s="22" t="s">
        <v>444</v>
      </c>
      <c r="C2" s="22" t="n">
        <v>20140101</v>
      </c>
      <c r="D2" s="22" t="n">
        <v>2014</v>
      </c>
      <c r="E2" s="22" t="n">
        <v>52</v>
      </c>
      <c r="F2" s="22" t="n">
        <v>2014</v>
      </c>
      <c r="G2" s="22" t="n">
        <v>699</v>
      </c>
      <c r="H2" s="22" t="s">
        <v>445</v>
      </c>
      <c r="I2" s="22" t="s">
        <v>333</v>
      </c>
      <c r="J2" s="22" t="s">
        <v>446</v>
      </c>
      <c r="K2" s="22" t="s">
        <v>447</v>
      </c>
      <c r="L2" s="22" t="n">
        <v>826</v>
      </c>
      <c r="M2" s="22" t="s">
        <v>448</v>
      </c>
      <c r="N2" s="22" t="s">
        <v>449</v>
      </c>
      <c r="O2" s="22" t="n">
        <v>0</v>
      </c>
      <c r="P2" s="22" t="s">
        <v>450</v>
      </c>
      <c r="Q2" s="22" t="s">
        <v>451</v>
      </c>
      <c r="R2" s="22" t="s">
        <v>452</v>
      </c>
      <c r="S2" s="22" t="s">
        <v>453</v>
      </c>
      <c r="T2" s="71" t="b">
        <f aca="false">TRUE()</f>
        <v>1</v>
      </c>
      <c r="U2" s="69" t="n">
        <v>7208</v>
      </c>
      <c r="V2" s="22" t="s">
        <v>454</v>
      </c>
      <c r="W2" s="22" t="n">
        <v>4</v>
      </c>
      <c r="X2" s="71" t="b">
        <f aca="false">FALSE()</f>
        <v>0</v>
      </c>
      <c r="Y2" s="22" t="s">
        <v>455</v>
      </c>
      <c r="Z2" s="22" t="s">
        <v>456</v>
      </c>
      <c r="AA2" s="22" t="n">
        <v>0</v>
      </c>
      <c r="AB2" s="22" t="n">
        <v>0</v>
      </c>
      <c r="AC2" s="22" t="s">
        <v>457</v>
      </c>
      <c r="AD2" s="22" t="n">
        <v>8</v>
      </c>
      <c r="AE2" s="22" t="s">
        <v>458</v>
      </c>
      <c r="AF2" s="22" t="n">
        <v>805965</v>
      </c>
      <c r="AG2" s="71" t="b">
        <f aca="false">FALSE()</f>
        <v>0</v>
      </c>
      <c r="AH2" s="22" t="n">
        <v>-1</v>
      </c>
      <c r="AI2" s="22" t="s">
        <v>459</v>
      </c>
      <c r="AK2" s="71" t="b">
        <f aca="false">FALSE()</f>
        <v>0</v>
      </c>
      <c r="AL2" s="70" t="n">
        <v>805965</v>
      </c>
      <c r="AM2" s="71" t="b">
        <f aca="false">FALSE()</f>
        <v>0</v>
      </c>
      <c r="AO2" s="71" t="b">
        <f aca="false">FALSE()</f>
        <v>0</v>
      </c>
      <c r="AP2" s="22" t="n">
        <v>605724</v>
      </c>
      <c r="AR2" s="70" t="n">
        <v>605724</v>
      </c>
      <c r="AS2" s="22" t="n">
        <v>0</v>
      </c>
      <c r="AT2" s="71" t="b">
        <f aca="false">TRUE()</f>
        <v>1</v>
      </c>
      <c r="AU2" s="71" t="b">
        <f aca="false">FALSE()</f>
        <v>0</v>
      </c>
    </row>
    <row r="3" customFormat="false" ht="14.25" hidden="false" customHeight="true" outlineLevel="0" collapsed="false">
      <c r="A3" s="22" t="s">
        <v>443</v>
      </c>
      <c r="B3" s="22" t="s">
        <v>444</v>
      </c>
      <c r="C3" s="22" t="n">
        <v>20150101</v>
      </c>
      <c r="D3" s="22" t="n">
        <v>2015</v>
      </c>
      <c r="E3" s="22" t="n">
        <v>52</v>
      </c>
      <c r="F3" s="22" t="n">
        <v>2015</v>
      </c>
      <c r="G3" s="22" t="n">
        <v>699</v>
      </c>
      <c r="H3" s="22" t="s">
        <v>445</v>
      </c>
      <c r="I3" s="22" t="s">
        <v>333</v>
      </c>
      <c r="J3" s="22" t="s">
        <v>446</v>
      </c>
      <c r="K3" s="22" t="s">
        <v>447</v>
      </c>
      <c r="L3" s="22" t="n">
        <v>826</v>
      </c>
      <c r="M3" s="22" t="s">
        <v>448</v>
      </c>
      <c r="N3" s="22" t="s">
        <v>449</v>
      </c>
      <c r="O3" s="22" t="n">
        <v>0</v>
      </c>
      <c r="P3" s="22" t="s">
        <v>450</v>
      </c>
      <c r="Q3" s="22" t="s">
        <v>451</v>
      </c>
      <c r="R3" s="22" t="s">
        <v>452</v>
      </c>
      <c r="S3" s="22" t="s">
        <v>453</v>
      </c>
      <c r="T3" s="71" t="b">
        <f aca="false">TRUE()</f>
        <v>1</v>
      </c>
      <c r="U3" s="69" t="n">
        <v>7208</v>
      </c>
      <c r="V3" s="22" t="s">
        <v>454</v>
      </c>
      <c r="W3" s="22" t="n">
        <v>4</v>
      </c>
      <c r="X3" s="71" t="b">
        <f aca="false">FALSE()</f>
        <v>0</v>
      </c>
      <c r="Y3" s="22" t="s">
        <v>455</v>
      </c>
      <c r="Z3" s="22" t="s">
        <v>456</v>
      </c>
      <c r="AA3" s="22" t="n">
        <v>0</v>
      </c>
      <c r="AB3" s="22" t="n">
        <v>0</v>
      </c>
      <c r="AC3" s="22" t="s">
        <v>457</v>
      </c>
      <c r="AD3" s="22" t="n">
        <v>8</v>
      </c>
      <c r="AE3" s="22" t="s">
        <v>458</v>
      </c>
      <c r="AF3" s="22" t="n">
        <v>117804</v>
      </c>
      <c r="AG3" s="71" t="b">
        <f aca="false">FALSE()</f>
        <v>0</v>
      </c>
      <c r="AH3" s="22" t="n">
        <v>-1</v>
      </c>
      <c r="AI3" s="22" t="s">
        <v>459</v>
      </c>
      <c r="AK3" s="71" t="b">
        <f aca="false">FALSE()</f>
        <v>0</v>
      </c>
      <c r="AL3" s="70" t="n">
        <v>117804</v>
      </c>
      <c r="AM3" s="71" t="b">
        <f aca="false">FALSE()</f>
        <v>0</v>
      </c>
      <c r="AO3" s="71" t="b">
        <f aca="false">FALSE()</f>
        <v>0</v>
      </c>
      <c r="AP3" s="22" t="n">
        <v>131898</v>
      </c>
      <c r="AR3" s="70" t="n">
        <v>131898</v>
      </c>
      <c r="AS3" s="22" t="n">
        <v>0</v>
      </c>
      <c r="AT3" s="71" t="b">
        <f aca="false">TRUE()</f>
        <v>1</v>
      </c>
      <c r="AU3" s="71" t="b">
        <f aca="false">FALSE()</f>
        <v>0</v>
      </c>
    </row>
    <row r="4" customFormat="false" ht="14.25" hidden="false" customHeight="true" outlineLevel="0" collapsed="false">
      <c r="A4" s="22" t="s">
        <v>443</v>
      </c>
      <c r="B4" s="22" t="s">
        <v>444</v>
      </c>
      <c r="C4" s="22" t="n">
        <v>20160101</v>
      </c>
      <c r="D4" s="22" t="n">
        <v>2016</v>
      </c>
      <c r="E4" s="22" t="n">
        <v>52</v>
      </c>
      <c r="F4" s="22" t="n">
        <v>2016</v>
      </c>
      <c r="G4" s="22" t="n">
        <v>699</v>
      </c>
      <c r="H4" s="22" t="s">
        <v>445</v>
      </c>
      <c r="I4" s="22" t="s">
        <v>333</v>
      </c>
      <c r="J4" s="22" t="s">
        <v>446</v>
      </c>
      <c r="K4" s="22" t="s">
        <v>447</v>
      </c>
      <c r="L4" s="22" t="n">
        <v>826</v>
      </c>
      <c r="M4" s="22" t="s">
        <v>448</v>
      </c>
      <c r="N4" s="22" t="s">
        <v>449</v>
      </c>
      <c r="O4" s="22" t="n">
        <v>0</v>
      </c>
      <c r="P4" s="22" t="s">
        <v>450</v>
      </c>
      <c r="Q4" s="22" t="s">
        <v>451</v>
      </c>
      <c r="R4" s="22" t="s">
        <v>452</v>
      </c>
      <c r="S4" s="22" t="s">
        <v>453</v>
      </c>
      <c r="T4" s="71" t="b">
        <f aca="false">TRUE()</f>
        <v>1</v>
      </c>
      <c r="U4" s="69" t="n">
        <v>7208</v>
      </c>
      <c r="V4" s="22" t="s">
        <v>454</v>
      </c>
      <c r="W4" s="22" t="n">
        <v>4</v>
      </c>
      <c r="X4" s="71" t="b">
        <f aca="false">FALSE()</f>
        <v>0</v>
      </c>
      <c r="Y4" s="22" t="s">
        <v>455</v>
      </c>
      <c r="Z4" s="22" t="s">
        <v>456</v>
      </c>
      <c r="AA4" s="22" t="n">
        <v>0</v>
      </c>
      <c r="AB4" s="22" t="n">
        <v>0</v>
      </c>
      <c r="AC4" s="22" t="s">
        <v>457</v>
      </c>
      <c r="AD4" s="22" t="n">
        <v>8</v>
      </c>
      <c r="AE4" s="22" t="s">
        <v>458</v>
      </c>
      <c r="AF4" s="22" t="n">
        <v>20661</v>
      </c>
      <c r="AG4" s="71" t="b">
        <f aca="false">FALSE()</f>
        <v>0</v>
      </c>
      <c r="AH4" s="22" t="n">
        <v>-1</v>
      </c>
      <c r="AI4" s="22" t="s">
        <v>459</v>
      </c>
      <c r="AK4" s="71" t="b">
        <f aca="false">FALSE()</f>
        <v>0</v>
      </c>
      <c r="AL4" s="70" t="n">
        <v>20661</v>
      </c>
      <c r="AM4" s="71" t="b">
        <f aca="false">FALSE()</f>
        <v>0</v>
      </c>
      <c r="AO4" s="71" t="b">
        <f aca="false">FALSE()</f>
        <v>0</v>
      </c>
      <c r="AP4" s="22" t="n">
        <v>12095</v>
      </c>
      <c r="AR4" s="70" t="n">
        <v>12095</v>
      </c>
      <c r="AS4" s="22" t="n">
        <v>0</v>
      </c>
      <c r="AT4" s="71" t="b">
        <f aca="false">TRUE()</f>
        <v>1</v>
      </c>
      <c r="AU4" s="71" t="b">
        <f aca="false">FALSE()</f>
        <v>0</v>
      </c>
    </row>
    <row r="5" customFormat="false" ht="14.25" hidden="false" customHeight="true" outlineLevel="0" collapsed="false">
      <c r="A5" s="22" t="s">
        <v>443</v>
      </c>
      <c r="B5" s="22" t="s">
        <v>444</v>
      </c>
      <c r="C5" s="22" t="n">
        <v>20170101</v>
      </c>
      <c r="D5" s="22" t="n">
        <v>2017</v>
      </c>
      <c r="E5" s="22" t="n">
        <v>52</v>
      </c>
      <c r="F5" s="22" t="n">
        <v>2017</v>
      </c>
      <c r="G5" s="22" t="n">
        <v>699</v>
      </c>
      <c r="H5" s="22" t="s">
        <v>445</v>
      </c>
      <c r="I5" s="22" t="s">
        <v>333</v>
      </c>
      <c r="J5" s="22" t="s">
        <v>446</v>
      </c>
      <c r="K5" s="22" t="s">
        <v>447</v>
      </c>
      <c r="L5" s="22" t="n">
        <v>826</v>
      </c>
      <c r="M5" s="22" t="s">
        <v>448</v>
      </c>
      <c r="N5" s="22" t="s">
        <v>449</v>
      </c>
      <c r="O5" s="22" t="n">
        <v>0</v>
      </c>
      <c r="P5" s="22" t="s">
        <v>450</v>
      </c>
      <c r="Q5" s="22" t="s">
        <v>451</v>
      </c>
      <c r="R5" s="22" t="s">
        <v>460</v>
      </c>
      <c r="S5" s="22" t="s">
        <v>453</v>
      </c>
      <c r="T5" s="71" t="b">
        <f aca="false">TRUE()</f>
        <v>1</v>
      </c>
      <c r="U5" s="69" t="n">
        <v>7208</v>
      </c>
      <c r="V5" s="22" t="s">
        <v>454</v>
      </c>
      <c r="W5" s="22" t="n">
        <v>4</v>
      </c>
      <c r="X5" s="71" t="b">
        <f aca="false">FALSE()</f>
        <v>0</v>
      </c>
      <c r="Y5" s="22" t="s">
        <v>455</v>
      </c>
      <c r="Z5" s="22" t="s">
        <v>456</v>
      </c>
      <c r="AA5" s="22" t="n">
        <v>0</v>
      </c>
      <c r="AB5" s="22" t="n">
        <v>0</v>
      </c>
      <c r="AC5" s="22" t="s">
        <v>457</v>
      </c>
      <c r="AD5" s="22" t="n">
        <v>8</v>
      </c>
      <c r="AE5" s="22" t="s">
        <v>458</v>
      </c>
      <c r="AF5" s="22" t="n">
        <v>82308</v>
      </c>
      <c r="AG5" s="71" t="b">
        <f aca="false">FALSE()</f>
        <v>0</v>
      </c>
      <c r="AH5" s="22" t="n">
        <v>8</v>
      </c>
      <c r="AI5" s="22" t="s">
        <v>458</v>
      </c>
      <c r="AJ5" s="22" t="n">
        <v>82308</v>
      </c>
      <c r="AK5" s="71" t="b">
        <f aca="false">FALSE()</f>
        <v>0</v>
      </c>
      <c r="AL5" s="70" t="n">
        <v>82308</v>
      </c>
      <c r="AM5" s="71" t="b">
        <f aca="false">FALSE()</f>
        <v>0</v>
      </c>
      <c r="AO5" s="71" t="b">
        <f aca="false">FALSE()</f>
        <v>0</v>
      </c>
      <c r="AP5" s="22" t="n">
        <v>39761.234</v>
      </c>
      <c r="AR5" s="70" t="n">
        <v>39761.234</v>
      </c>
      <c r="AS5" s="22" t="n">
        <v>0</v>
      </c>
      <c r="AT5" s="71" t="b">
        <f aca="false">FALSE()</f>
        <v>0</v>
      </c>
      <c r="AU5" s="71" t="b">
        <f aca="false">TRUE()</f>
        <v>1</v>
      </c>
    </row>
    <row r="6" customFormat="false" ht="14.25" hidden="false" customHeight="true" outlineLevel="0" collapsed="false">
      <c r="A6" s="22" t="s">
        <v>443</v>
      </c>
      <c r="B6" s="22" t="s">
        <v>444</v>
      </c>
      <c r="C6" s="22" t="n">
        <v>20180101</v>
      </c>
      <c r="D6" s="22" t="n">
        <v>2018</v>
      </c>
      <c r="E6" s="22" t="n">
        <v>52</v>
      </c>
      <c r="F6" s="22" t="n">
        <v>2018</v>
      </c>
      <c r="G6" s="22" t="n">
        <v>699</v>
      </c>
      <c r="H6" s="22" t="s">
        <v>445</v>
      </c>
      <c r="I6" s="22" t="s">
        <v>333</v>
      </c>
      <c r="J6" s="22" t="s">
        <v>446</v>
      </c>
      <c r="K6" s="22" t="s">
        <v>447</v>
      </c>
      <c r="L6" s="22" t="n">
        <v>826</v>
      </c>
      <c r="M6" s="22" t="s">
        <v>448</v>
      </c>
      <c r="N6" s="22" t="s">
        <v>449</v>
      </c>
      <c r="O6" s="22" t="n">
        <v>0</v>
      </c>
      <c r="P6" s="22" t="s">
        <v>450</v>
      </c>
      <c r="Q6" s="22" t="s">
        <v>451</v>
      </c>
      <c r="R6" s="22" t="s">
        <v>460</v>
      </c>
      <c r="S6" s="22" t="s">
        <v>453</v>
      </c>
      <c r="T6" s="71" t="b">
        <f aca="false">TRUE()</f>
        <v>1</v>
      </c>
      <c r="U6" s="69" t="n">
        <v>7208</v>
      </c>
      <c r="V6" s="22" t="s">
        <v>454</v>
      </c>
      <c r="W6" s="22" t="n">
        <v>4</v>
      </c>
      <c r="X6" s="71" t="b">
        <f aca="false">FALSE()</f>
        <v>0</v>
      </c>
      <c r="Y6" s="22" t="s">
        <v>455</v>
      </c>
      <c r="Z6" s="22" t="s">
        <v>456</v>
      </c>
      <c r="AA6" s="22" t="n">
        <v>0</v>
      </c>
      <c r="AB6" s="22" t="n">
        <v>0</v>
      </c>
      <c r="AC6" s="22" t="s">
        <v>457</v>
      </c>
      <c r="AD6" s="22" t="n">
        <v>8</v>
      </c>
      <c r="AE6" s="22" t="s">
        <v>458</v>
      </c>
      <c r="AF6" s="22" t="n">
        <v>246258</v>
      </c>
      <c r="AG6" s="71" t="b">
        <f aca="false">FALSE()</f>
        <v>0</v>
      </c>
      <c r="AH6" s="22" t="n">
        <v>8</v>
      </c>
      <c r="AI6" s="22" t="s">
        <v>458</v>
      </c>
      <c r="AJ6" s="22" t="n">
        <v>246258</v>
      </c>
      <c r="AK6" s="71" t="b">
        <f aca="false">FALSE()</f>
        <v>0</v>
      </c>
      <c r="AL6" s="70" t="n">
        <v>246258</v>
      </c>
      <c r="AM6" s="71" t="b">
        <f aca="false">FALSE()</f>
        <v>0</v>
      </c>
      <c r="AO6" s="71" t="b">
        <f aca="false">FALSE()</f>
        <v>0</v>
      </c>
      <c r="AP6" s="22" t="n">
        <v>275237.097</v>
      </c>
      <c r="AR6" s="70" t="n">
        <v>275237.097</v>
      </c>
      <c r="AS6" s="22" t="n">
        <v>0</v>
      </c>
      <c r="AT6" s="71" t="b">
        <f aca="false">FALSE()</f>
        <v>0</v>
      </c>
      <c r="AU6" s="71" t="b">
        <f aca="false">TRUE()</f>
        <v>1</v>
      </c>
    </row>
    <row r="7" customFormat="false" ht="14.25" hidden="false" customHeight="true" outlineLevel="0" collapsed="false">
      <c r="A7" s="22" t="s">
        <v>443</v>
      </c>
      <c r="B7" s="22" t="s">
        <v>444</v>
      </c>
      <c r="C7" s="22" t="n">
        <v>20190101</v>
      </c>
      <c r="D7" s="22" t="n">
        <v>2019</v>
      </c>
      <c r="E7" s="22" t="n">
        <v>52</v>
      </c>
      <c r="F7" s="22" t="n">
        <v>2019</v>
      </c>
      <c r="G7" s="22" t="n">
        <v>699</v>
      </c>
      <c r="H7" s="22" t="s">
        <v>445</v>
      </c>
      <c r="I7" s="22" t="s">
        <v>333</v>
      </c>
      <c r="J7" s="22" t="s">
        <v>446</v>
      </c>
      <c r="K7" s="22" t="s">
        <v>447</v>
      </c>
      <c r="L7" s="22" t="n">
        <v>826</v>
      </c>
      <c r="M7" s="22" t="s">
        <v>448</v>
      </c>
      <c r="N7" s="22" t="s">
        <v>449</v>
      </c>
      <c r="O7" s="22" t="n">
        <v>0</v>
      </c>
      <c r="P7" s="22" t="s">
        <v>450</v>
      </c>
      <c r="Q7" s="22" t="s">
        <v>451</v>
      </c>
      <c r="R7" s="22" t="s">
        <v>460</v>
      </c>
      <c r="S7" s="22" t="s">
        <v>453</v>
      </c>
      <c r="T7" s="71" t="b">
        <f aca="false">TRUE()</f>
        <v>1</v>
      </c>
      <c r="U7" s="69" t="n">
        <v>7208</v>
      </c>
      <c r="V7" s="22" t="s">
        <v>454</v>
      </c>
      <c r="W7" s="22" t="n">
        <v>4</v>
      </c>
      <c r="X7" s="71" t="b">
        <f aca="false">FALSE()</f>
        <v>0</v>
      </c>
      <c r="Y7" s="22" t="s">
        <v>455</v>
      </c>
      <c r="Z7" s="22" t="s">
        <v>456</v>
      </c>
      <c r="AA7" s="22" t="n">
        <v>0</v>
      </c>
      <c r="AB7" s="22" t="n">
        <v>0</v>
      </c>
      <c r="AC7" s="22" t="s">
        <v>457</v>
      </c>
      <c r="AD7" s="22" t="n">
        <v>8</v>
      </c>
      <c r="AE7" s="22" t="s">
        <v>458</v>
      </c>
      <c r="AF7" s="22" t="n">
        <v>75692.579</v>
      </c>
      <c r="AG7" s="71" t="b">
        <f aca="false">TRUE()</f>
        <v>1</v>
      </c>
      <c r="AH7" s="22" t="n">
        <v>-1</v>
      </c>
      <c r="AI7" s="22" t="s">
        <v>459</v>
      </c>
      <c r="AJ7" s="22" t="n">
        <v>0</v>
      </c>
      <c r="AK7" s="71" t="b">
        <f aca="false">FALSE()</f>
        <v>0</v>
      </c>
      <c r="AL7" s="70" t="n">
        <v>75692.579</v>
      </c>
      <c r="AM7" s="71" t="b">
        <f aca="false">TRUE()</f>
        <v>1</v>
      </c>
      <c r="AN7" s="22" t="n">
        <v>0</v>
      </c>
      <c r="AO7" s="71" t="b">
        <f aca="false">FALSE()</f>
        <v>0</v>
      </c>
      <c r="AP7" s="22" t="n">
        <v>125106.199</v>
      </c>
      <c r="AQ7" s="22" t="n">
        <v>0</v>
      </c>
      <c r="AR7" s="70" t="n">
        <v>125106.199</v>
      </c>
      <c r="AS7" s="22" t="n">
        <v>6</v>
      </c>
      <c r="AT7" s="71" t="b">
        <f aca="false">FALSE()</f>
        <v>0</v>
      </c>
      <c r="AU7" s="71" t="b">
        <f aca="false">TRUE()</f>
        <v>1</v>
      </c>
    </row>
    <row r="8" customFormat="false" ht="14.25" hidden="false" customHeight="true" outlineLevel="0" collapsed="false">
      <c r="A8" s="22" t="s">
        <v>443</v>
      </c>
      <c r="B8" s="22" t="s">
        <v>444</v>
      </c>
      <c r="C8" s="22" t="n">
        <v>20200101</v>
      </c>
      <c r="D8" s="22" t="n">
        <v>2020</v>
      </c>
      <c r="E8" s="22" t="n">
        <v>52</v>
      </c>
      <c r="F8" s="22" t="n">
        <v>2020</v>
      </c>
      <c r="G8" s="22" t="n">
        <v>699</v>
      </c>
      <c r="H8" s="22" t="s">
        <v>445</v>
      </c>
      <c r="I8" s="22" t="s">
        <v>333</v>
      </c>
      <c r="J8" s="22" t="s">
        <v>446</v>
      </c>
      <c r="K8" s="22" t="s">
        <v>447</v>
      </c>
      <c r="L8" s="22" t="n">
        <v>826</v>
      </c>
      <c r="M8" s="22" t="s">
        <v>448</v>
      </c>
      <c r="N8" s="22" t="s">
        <v>449</v>
      </c>
      <c r="O8" s="22" t="n">
        <v>0</v>
      </c>
      <c r="P8" s="22" t="s">
        <v>450</v>
      </c>
      <c r="Q8" s="22" t="s">
        <v>451</v>
      </c>
      <c r="R8" s="22" t="s">
        <v>460</v>
      </c>
      <c r="S8" s="22" t="s">
        <v>453</v>
      </c>
      <c r="T8" s="71" t="b">
        <f aca="false">TRUE()</f>
        <v>1</v>
      </c>
      <c r="U8" s="69" t="n">
        <v>7208</v>
      </c>
      <c r="V8" s="22" t="s">
        <v>454</v>
      </c>
      <c r="W8" s="22" t="n">
        <v>4</v>
      </c>
      <c r="X8" s="71" t="b">
        <f aca="false">FALSE()</f>
        <v>0</v>
      </c>
      <c r="Y8" s="22" t="s">
        <v>455</v>
      </c>
      <c r="Z8" s="22" t="s">
        <v>456</v>
      </c>
      <c r="AA8" s="22" t="n">
        <v>0</v>
      </c>
      <c r="AB8" s="22" t="n">
        <v>0</v>
      </c>
      <c r="AC8" s="22" t="s">
        <v>457</v>
      </c>
      <c r="AD8" s="22" t="n">
        <v>8</v>
      </c>
      <c r="AE8" s="22" t="s">
        <v>458</v>
      </c>
      <c r="AF8" s="22" t="n">
        <v>13852.136</v>
      </c>
      <c r="AG8" s="71" t="b">
        <f aca="false">TRUE()</f>
        <v>1</v>
      </c>
      <c r="AH8" s="22" t="n">
        <v>-1</v>
      </c>
      <c r="AI8" s="22" t="s">
        <v>459</v>
      </c>
      <c r="AJ8" s="22" t="n">
        <v>0</v>
      </c>
      <c r="AK8" s="71" t="b">
        <f aca="false">FALSE()</f>
        <v>0</v>
      </c>
      <c r="AL8" s="70" t="n">
        <v>13852.136</v>
      </c>
      <c r="AM8" s="71" t="b">
        <f aca="false">TRUE()</f>
        <v>1</v>
      </c>
      <c r="AN8" s="22" t="n">
        <v>0</v>
      </c>
      <c r="AO8" s="71" t="b">
        <f aca="false">FALSE()</f>
        <v>0</v>
      </c>
      <c r="AP8" s="22" t="n">
        <v>31641.319</v>
      </c>
      <c r="AQ8" s="22" t="n">
        <v>0</v>
      </c>
      <c r="AR8" s="70" t="n">
        <v>31641.319</v>
      </c>
      <c r="AS8" s="22" t="n">
        <v>6</v>
      </c>
      <c r="AT8" s="71" t="b">
        <f aca="false">FALSE()</f>
        <v>0</v>
      </c>
      <c r="AU8" s="71" t="b">
        <f aca="false">TRUE()</f>
        <v>1</v>
      </c>
    </row>
    <row r="9" customFormat="false" ht="14.25" hidden="false" customHeight="true" outlineLevel="0" collapsed="false">
      <c r="A9" s="22" t="s">
        <v>443</v>
      </c>
      <c r="B9" s="22" t="s">
        <v>444</v>
      </c>
      <c r="C9" s="22" t="n">
        <v>20210101</v>
      </c>
      <c r="D9" s="22" t="n">
        <v>2021</v>
      </c>
      <c r="E9" s="22" t="n">
        <v>52</v>
      </c>
      <c r="F9" s="22" t="n">
        <v>2021</v>
      </c>
      <c r="G9" s="22" t="n">
        <v>699</v>
      </c>
      <c r="H9" s="22" t="s">
        <v>445</v>
      </c>
      <c r="I9" s="22" t="s">
        <v>333</v>
      </c>
      <c r="J9" s="22" t="s">
        <v>446</v>
      </c>
      <c r="K9" s="22" t="s">
        <v>447</v>
      </c>
      <c r="L9" s="22" t="n">
        <v>826</v>
      </c>
      <c r="M9" s="22" t="s">
        <v>448</v>
      </c>
      <c r="N9" s="22" t="s">
        <v>449</v>
      </c>
      <c r="O9" s="22" t="n">
        <v>0</v>
      </c>
      <c r="P9" s="22" t="s">
        <v>450</v>
      </c>
      <c r="Q9" s="22" t="s">
        <v>451</v>
      </c>
      <c r="R9" s="22" t="s">
        <v>460</v>
      </c>
      <c r="S9" s="22" t="s">
        <v>453</v>
      </c>
      <c r="T9" s="71" t="b">
        <f aca="false">TRUE()</f>
        <v>1</v>
      </c>
      <c r="U9" s="69" t="n">
        <v>7208</v>
      </c>
      <c r="V9" s="22" t="s">
        <v>454</v>
      </c>
      <c r="W9" s="22" t="n">
        <v>4</v>
      </c>
      <c r="X9" s="71" t="b">
        <f aca="false">FALSE()</f>
        <v>0</v>
      </c>
      <c r="Y9" s="22" t="s">
        <v>455</v>
      </c>
      <c r="Z9" s="22" t="s">
        <v>456</v>
      </c>
      <c r="AA9" s="22" t="n">
        <v>0</v>
      </c>
      <c r="AB9" s="22" t="n">
        <v>0</v>
      </c>
      <c r="AC9" s="22" t="s">
        <v>457</v>
      </c>
      <c r="AD9" s="22" t="n">
        <v>8</v>
      </c>
      <c r="AE9" s="22" t="s">
        <v>458</v>
      </c>
      <c r="AF9" s="22" t="n">
        <v>26645.948</v>
      </c>
      <c r="AG9" s="71" t="b">
        <f aca="false">TRUE()</f>
        <v>1</v>
      </c>
      <c r="AH9" s="22" t="n">
        <v>-1</v>
      </c>
      <c r="AI9" s="22" t="s">
        <v>459</v>
      </c>
      <c r="AJ9" s="22" t="n">
        <v>0</v>
      </c>
      <c r="AK9" s="71" t="b">
        <f aca="false">FALSE()</f>
        <v>0</v>
      </c>
      <c r="AL9" s="70" t="n">
        <v>26645.948</v>
      </c>
      <c r="AM9" s="71" t="b">
        <f aca="false">TRUE()</f>
        <v>1</v>
      </c>
      <c r="AN9" s="22" t="n">
        <v>0</v>
      </c>
      <c r="AO9" s="71" t="b">
        <f aca="false">FALSE()</f>
        <v>0</v>
      </c>
      <c r="AP9" s="22" t="n">
        <v>64958.213</v>
      </c>
      <c r="AQ9" s="22" t="n">
        <v>0</v>
      </c>
      <c r="AR9" s="70" t="n">
        <v>64958.213</v>
      </c>
      <c r="AS9" s="22" t="n">
        <v>6</v>
      </c>
      <c r="AT9" s="71" t="b">
        <f aca="false">FALSE()</f>
        <v>0</v>
      </c>
      <c r="AU9" s="71" t="b">
        <f aca="false">TRUE()</f>
        <v>1</v>
      </c>
    </row>
    <row r="10" customFormat="false" ht="14.25" hidden="false" customHeight="true" outlineLevel="0" collapsed="false">
      <c r="A10" s="22" t="s">
        <v>443</v>
      </c>
      <c r="B10" s="22" t="s">
        <v>444</v>
      </c>
      <c r="C10" s="22" t="n">
        <v>20220101</v>
      </c>
      <c r="D10" s="22" t="n">
        <v>2022</v>
      </c>
      <c r="E10" s="22" t="n">
        <v>52</v>
      </c>
      <c r="F10" s="22" t="n">
        <v>2022</v>
      </c>
      <c r="G10" s="22" t="n">
        <v>699</v>
      </c>
      <c r="H10" s="22" t="s">
        <v>445</v>
      </c>
      <c r="I10" s="22" t="s">
        <v>333</v>
      </c>
      <c r="J10" s="22" t="s">
        <v>446</v>
      </c>
      <c r="K10" s="22" t="s">
        <v>447</v>
      </c>
      <c r="L10" s="22" t="n">
        <v>826</v>
      </c>
      <c r="M10" s="22" t="s">
        <v>448</v>
      </c>
      <c r="N10" s="22" t="s">
        <v>449</v>
      </c>
      <c r="O10" s="22" t="n">
        <v>0</v>
      </c>
      <c r="P10" s="22" t="s">
        <v>450</v>
      </c>
      <c r="Q10" s="22" t="s">
        <v>451</v>
      </c>
      <c r="R10" s="22" t="s">
        <v>461</v>
      </c>
      <c r="S10" s="22" t="s">
        <v>453</v>
      </c>
      <c r="T10" s="71" t="b">
        <f aca="false">TRUE()</f>
        <v>1</v>
      </c>
      <c r="U10" s="69" t="n">
        <v>7208</v>
      </c>
      <c r="V10" s="22" t="s">
        <v>454</v>
      </c>
      <c r="W10" s="22" t="n">
        <v>4</v>
      </c>
      <c r="X10" s="71" t="b">
        <f aca="false">FALSE()</f>
        <v>0</v>
      </c>
      <c r="Y10" s="22" t="s">
        <v>455</v>
      </c>
      <c r="Z10" s="22" t="s">
        <v>456</v>
      </c>
      <c r="AA10" s="22" t="n">
        <v>0</v>
      </c>
      <c r="AB10" s="22" t="n">
        <v>0</v>
      </c>
      <c r="AC10" s="22" t="s">
        <v>457</v>
      </c>
      <c r="AD10" s="22" t="n">
        <v>8</v>
      </c>
      <c r="AE10" s="22" t="s">
        <v>458</v>
      </c>
      <c r="AF10" s="22" t="n">
        <v>9293.518</v>
      </c>
      <c r="AG10" s="71" t="b">
        <f aca="false">TRUE()</f>
        <v>1</v>
      </c>
      <c r="AH10" s="22" t="n">
        <v>-1</v>
      </c>
      <c r="AI10" s="22" t="s">
        <v>459</v>
      </c>
      <c r="AJ10" s="22" t="n">
        <v>0</v>
      </c>
      <c r="AK10" s="71" t="b">
        <f aca="false">FALSE()</f>
        <v>0</v>
      </c>
      <c r="AL10" s="70" t="n">
        <v>9293.518</v>
      </c>
      <c r="AM10" s="71" t="b">
        <f aca="false">TRUE()</f>
        <v>1</v>
      </c>
      <c r="AN10" s="22" t="n">
        <v>0</v>
      </c>
      <c r="AO10" s="71" t="b">
        <f aca="false">FALSE()</f>
        <v>0</v>
      </c>
      <c r="AP10" s="22" t="n">
        <v>32686.259</v>
      </c>
      <c r="AR10" s="70" t="n">
        <v>32686.259</v>
      </c>
      <c r="AS10" s="22" t="n">
        <v>6</v>
      </c>
      <c r="AT10" s="71" t="b">
        <f aca="false">FALSE()</f>
        <v>0</v>
      </c>
      <c r="AU10" s="71" t="b">
        <f aca="false">TRUE()</f>
        <v>1</v>
      </c>
    </row>
    <row r="11" customFormat="false" ht="14.25" hidden="false" customHeight="true" outlineLevel="0" collapsed="false">
      <c r="A11" s="22" t="s">
        <v>443</v>
      </c>
      <c r="B11" s="22" t="s">
        <v>444</v>
      </c>
      <c r="C11" s="22" t="n">
        <v>20230101</v>
      </c>
      <c r="D11" s="22" t="n">
        <v>2023</v>
      </c>
      <c r="E11" s="22" t="n">
        <v>52</v>
      </c>
      <c r="F11" s="22" t="n">
        <v>2023</v>
      </c>
      <c r="G11" s="22" t="n">
        <v>699</v>
      </c>
      <c r="H11" s="22" t="s">
        <v>445</v>
      </c>
      <c r="I11" s="22" t="s">
        <v>333</v>
      </c>
      <c r="J11" s="22" t="s">
        <v>446</v>
      </c>
      <c r="K11" s="22" t="s">
        <v>447</v>
      </c>
      <c r="L11" s="22" t="n">
        <v>826</v>
      </c>
      <c r="M11" s="22" t="s">
        <v>448</v>
      </c>
      <c r="N11" s="22" t="s">
        <v>449</v>
      </c>
      <c r="O11" s="22" t="n">
        <v>0</v>
      </c>
      <c r="P11" s="22" t="s">
        <v>450</v>
      </c>
      <c r="Q11" s="22" t="s">
        <v>451</v>
      </c>
      <c r="R11" s="22" t="s">
        <v>461</v>
      </c>
      <c r="S11" s="22" t="s">
        <v>453</v>
      </c>
      <c r="T11" s="71" t="b">
        <f aca="false">TRUE()</f>
        <v>1</v>
      </c>
      <c r="U11" s="69" t="n">
        <v>7208</v>
      </c>
      <c r="V11" s="22" t="s">
        <v>454</v>
      </c>
      <c r="W11" s="22" t="n">
        <v>4</v>
      </c>
      <c r="X11" s="71" t="b">
        <f aca="false">FALSE()</f>
        <v>0</v>
      </c>
      <c r="Y11" s="22" t="s">
        <v>455</v>
      </c>
      <c r="Z11" s="22" t="s">
        <v>456</v>
      </c>
      <c r="AA11" s="22" t="n">
        <v>0</v>
      </c>
      <c r="AB11" s="22" t="n">
        <v>0</v>
      </c>
      <c r="AC11" s="22" t="s">
        <v>457</v>
      </c>
      <c r="AD11" s="22" t="n">
        <v>8</v>
      </c>
      <c r="AE11" s="22" t="s">
        <v>458</v>
      </c>
      <c r="AF11" s="22" t="n">
        <v>143151.113</v>
      </c>
      <c r="AG11" s="71" t="b">
        <f aca="false">TRUE()</f>
        <v>1</v>
      </c>
      <c r="AH11" s="22" t="n">
        <v>-1</v>
      </c>
      <c r="AI11" s="22" t="s">
        <v>459</v>
      </c>
      <c r="AJ11" s="22" t="n">
        <v>0</v>
      </c>
      <c r="AK11" s="71" t="b">
        <f aca="false">FALSE()</f>
        <v>0</v>
      </c>
      <c r="AL11" s="70" t="n">
        <v>143151.113</v>
      </c>
      <c r="AM11" s="71" t="b">
        <f aca="false">TRUE()</f>
        <v>1</v>
      </c>
      <c r="AN11" s="22" t="n">
        <v>0</v>
      </c>
      <c r="AO11" s="71" t="b">
        <f aca="false">FALSE()</f>
        <v>0</v>
      </c>
      <c r="AP11" s="22" t="n">
        <v>157795.389</v>
      </c>
      <c r="AR11" s="70" t="n">
        <v>157795.389</v>
      </c>
      <c r="AS11" s="22" t="n">
        <v>6</v>
      </c>
      <c r="AT11" s="71" t="b">
        <f aca="false">FALSE()</f>
        <v>0</v>
      </c>
      <c r="AU11" s="71" t="b">
        <f aca="false">TRUE()</f>
        <v>1</v>
      </c>
    </row>
    <row r="12" customFormat="false" ht="14.25" hidden="false" customHeight="true" outlineLevel="0" collapsed="false">
      <c r="A12" s="22" t="s">
        <v>443</v>
      </c>
      <c r="B12" s="22" t="s">
        <v>444</v>
      </c>
      <c r="C12" s="22" t="n">
        <v>20240101</v>
      </c>
      <c r="D12" s="22" t="n">
        <v>2024</v>
      </c>
      <c r="E12" s="22" t="n">
        <v>52</v>
      </c>
      <c r="F12" s="22" t="n">
        <v>2024</v>
      </c>
      <c r="G12" s="22" t="n">
        <v>699</v>
      </c>
      <c r="H12" s="22" t="s">
        <v>445</v>
      </c>
      <c r="I12" s="22" t="s">
        <v>333</v>
      </c>
      <c r="J12" s="22" t="s">
        <v>446</v>
      </c>
      <c r="K12" s="22" t="s">
        <v>447</v>
      </c>
      <c r="L12" s="22" t="n">
        <v>826</v>
      </c>
      <c r="M12" s="22" t="s">
        <v>448</v>
      </c>
      <c r="N12" s="22" t="s">
        <v>449</v>
      </c>
      <c r="O12" s="22" t="n">
        <v>0</v>
      </c>
      <c r="P12" s="22" t="s">
        <v>450</v>
      </c>
      <c r="Q12" s="22" t="s">
        <v>451</v>
      </c>
      <c r="R12" s="22" t="s">
        <v>461</v>
      </c>
      <c r="S12" s="22" t="s">
        <v>453</v>
      </c>
      <c r="T12" s="71" t="b">
        <f aca="false">TRUE()</f>
        <v>1</v>
      </c>
      <c r="U12" s="69" t="n">
        <v>7208</v>
      </c>
      <c r="V12" s="22" t="s">
        <v>454</v>
      </c>
      <c r="W12" s="22" t="n">
        <v>4</v>
      </c>
      <c r="X12" s="71" t="b">
        <f aca="false">FALSE()</f>
        <v>0</v>
      </c>
      <c r="Y12" s="22" t="s">
        <v>455</v>
      </c>
      <c r="Z12" s="22" t="s">
        <v>456</v>
      </c>
      <c r="AA12" s="22" t="n">
        <v>0</v>
      </c>
      <c r="AB12" s="22" t="n">
        <v>0</v>
      </c>
      <c r="AC12" s="22" t="s">
        <v>457</v>
      </c>
      <c r="AD12" s="22" t="n">
        <v>8</v>
      </c>
      <c r="AE12" s="22" t="s">
        <v>458</v>
      </c>
      <c r="AF12" s="22" t="n">
        <v>2465.914</v>
      </c>
      <c r="AG12" s="71" t="b">
        <f aca="false">TRUE()</f>
        <v>1</v>
      </c>
      <c r="AH12" s="22" t="n">
        <v>-1</v>
      </c>
      <c r="AI12" s="22" t="s">
        <v>459</v>
      </c>
      <c r="AJ12" s="22" t="n">
        <v>0</v>
      </c>
      <c r="AK12" s="71" t="b">
        <f aca="false">FALSE()</f>
        <v>0</v>
      </c>
      <c r="AL12" s="70" t="n">
        <v>2465.914</v>
      </c>
      <c r="AM12" s="71" t="b">
        <f aca="false">TRUE()</f>
        <v>1</v>
      </c>
      <c r="AN12" s="22" t="n">
        <v>0</v>
      </c>
      <c r="AO12" s="71" t="b">
        <f aca="false">FALSE()</f>
        <v>0</v>
      </c>
      <c r="AP12" s="22" t="n">
        <v>130346.87</v>
      </c>
      <c r="AR12" s="70" t="n">
        <v>130346.87</v>
      </c>
      <c r="AS12" s="22" t="n">
        <v>6</v>
      </c>
      <c r="AT12" s="71" t="b">
        <f aca="false">FALSE()</f>
        <v>0</v>
      </c>
      <c r="AU12" s="71" t="b">
        <f aca="false">TRUE()</f>
        <v>1</v>
      </c>
    </row>
    <row r="13" customFormat="false" ht="14.25" hidden="false" customHeight="true" outlineLevel="0" collapsed="false">
      <c r="AL13" s="70"/>
      <c r="AR13" s="70"/>
    </row>
    <row r="14" customFormat="false" ht="14.25" hidden="false" customHeight="true" outlineLevel="0" collapsed="false">
      <c r="AL14" s="70"/>
      <c r="AR14" s="70"/>
    </row>
    <row r="15" customFormat="false" ht="14.25" hidden="false" customHeight="true" outlineLevel="0" collapsed="false">
      <c r="AL15" s="70"/>
      <c r="AR15" s="70"/>
    </row>
    <row r="16" customFormat="false" ht="14.25" hidden="false" customHeight="true" outlineLevel="0" collapsed="false">
      <c r="A16" s="22" t="s">
        <v>396</v>
      </c>
      <c r="B16" s="22" t="s">
        <v>397</v>
      </c>
      <c r="C16" s="22" t="s">
        <v>398</v>
      </c>
      <c r="D16" s="22" t="s">
        <v>399</v>
      </c>
      <c r="E16" s="22" t="s">
        <v>400</v>
      </c>
      <c r="F16" s="22" t="s">
        <v>401</v>
      </c>
      <c r="G16" s="22" t="s">
        <v>402</v>
      </c>
      <c r="H16" s="22" t="s">
        <v>403</v>
      </c>
      <c r="I16" s="22" t="s">
        <v>404</v>
      </c>
      <c r="J16" s="22" t="s">
        <v>405</v>
      </c>
      <c r="K16" s="22" t="s">
        <v>406</v>
      </c>
      <c r="L16" s="22" t="s">
        <v>407</v>
      </c>
      <c r="M16" s="22" t="s">
        <v>408</v>
      </c>
      <c r="N16" s="22" t="s">
        <v>409</v>
      </c>
      <c r="O16" s="22" t="s">
        <v>410</v>
      </c>
      <c r="P16" s="22" t="s">
        <v>411</v>
      </c>
      <c r="Q16" s="22" t="s">
        <v>412</v>
      </c>
      <c r="R16" s="22" t="s">
        <v>413</v>
      </c>
      <c r="S16" s="22" t="s">
        <v>414</v>
      </c>
      <c r="T16" s="22" t="s">
        <v>415</v>
      </c>
      <c r="U16" s="72" t="s">
        <v>416</v>
      </c>
      <c r="V16" s="22" t="s">
        <v>417</v>
      </c>
      <c r="W16" s="22" t="s">
        <v>418</v>
      </c>
      <c r="X16" s="22" t="s">
        <v>419</v>
      </c>
      <c r="Y16" s="22" t="s">
        <v>420</v>
      </c>
      <c r="Z16" s="22" t="s">
        <v>421</v>
      </c>
      <c r="AA16" s="22" t="s">
        <v>422</v>
      </c>
      <c r="AB16" s="22" t="s">
        <v>423</v>
      </c>
      <c r="AC16" s="22" t="s">
        <v>424</v>
      </c>
      <c r="AD16" s="22" t="s">
        <v>425</v>
      </c>
      <c r="AE16" s="22" t="s">
        <v>426</v>
      </c>
      <c r="AF16" s="22" t="s">
        <v>427</v>
      </c>
      <c r="AG16" s="22" t="s">
        <v>428</v>
      </c>
      <c r="AH16" s="22" t="s">
        <v>429</v>
      </c>
      <c r="AI16" s="22" t="s">
        <v>430</v>
      </c>
      <c r="AJ16" s="22" t="s">
        <v>431</v>
      </c>
      <c r="AK16" s="22" t="s">
        <v>432</v>
      </c>
      <c r="AL16" s="70" t="s">
        <v>433</v>
      </c>
      <c r="AM16" s="22" t="s">
        <v>434</v>
      </c>
      <c r="AN16" s="22" t="s">
        <v>435</v>
      </c>
      <c r="AO16" s="22" t="s">
        <v>436</v>
      </c>
      <c r="AP16" s="22" t="s">
        <v>437</v>
      </c>
      <c r="AQ16" s="22" t="s">
        <v>438</v>
      </c>
      <c r="AR16" s="70" t="s">
        <v>439</v>
      </c>
      <c r="AS16" s="22" t="s">
        <v>440</v>
      </c>
      <c r="AT16" s="22" t="s">
        <v>441</v>
      </c>
      <c r="AU16" s="22" t="s">
        <v>442</v>
      </c>
    </row>
    <row r="17" customFormat="false" ht="14.25" hidden="false" customHeight="true" outlineLevel="0" collapsed="false">
      <c r="A17" s="22" t="s">
        <v>443</v>
      </c>
      <c r="B17" s="22" t="s">
        <v>444</v>
      </c>
      <c r="C17" s="22" t="n">
        <v>20140101</v>
      </c>
      <c r="D17" s="22" t="n">
        <v>2014</v>
      </c>
      <c r="E17" s="22" t="n">
        <v>52</v>
      </c>
      <c r="F17" s="22" t="n">
        <v>2014</v>
      </c>
      <c r="G17" s="22" t="n">
        <v>699</v>
      </c>
      <c r="H17" s="22" t="s">
        <v>445</v>
      </c>
      <c r="I17" s="22" t="s">
        <v>333</v>
      </c>
      <c r="J17" s="22" t="s">
        <v>446</v>
      </c>
      <c r="K17" s="22" t="s">
        <v>447</v>
      </c>
      <c r="L17" s="22" t="n">
        <v>826</v>
      </c>
      <c r="M17" s="22" t="s">
        <v>448</v>
      </c>
      <c r="N17" s="22" t="s">
        <v>449</v>
      </c>
      <c r="O17" s="22" t="n">
        <v>0</v>
      </c>
      <c r="P17" s="22" t="s">
        <v>450</v>
      </c>
      <c r="Q17" s="22" t="s">
        <v>451</v>
      </c>
      <c r="R17" s="22" t="s">
        <v>452</v>
      </c>
      <c r="S17" s="22" t="s">
        <v>453</v>
      </c>
      <c r="T17" s="71" t="b">
        <f aca="false">TRUE()</f>
        <v>1</v>
      </c>
      <c r="U17" s="72" t="n">
        <v>7210</v>
      </c>
      <c r="V17" s="22" t="s">
        <v>462</v>
      </c>
      <c r="W17" s="22" t="n">
        <v>4</v>
      </c>
      <c r="X17" s="71" t="b">
        <f aca="false">FALSE()</f>
        <v>0</v>
      </c>
      <c r="Y17" s="22" t="s">
        <v>455</v>
      </c>
      <c r="Z17" s="22" t="s">
        <v>456</v>
      </c>
      <c r="AA17" s="22" t="n">
        <v>0</v>
      </c>
      <c r="AB17" s="22" t="n">
        <v>0</v>
      </c>
      <c r="AC17" s="22" t="s">
        <v>457</v>
      </c>
      <c r="AD17" s="22" t="n">
        <v>8</v>
      </c>
      <c r="AE17" s="22" t="s">
        <v>458</v>
      </c>
      <c r="AF17" s="22" t="n">
        <v>8161247</v>
      </c>
      <c r="AG17" s="71" t="b">
        <f aca="false">FALSE()</f>
        <v>0</v>
      </c>
      <c r="AH17" s="22" t="n">
        <v>-1</v>
      </c>
      <c r="AI17" s="22" t="s">
        <v>459</v>
      </c>
      <c r="AK17" s="71" t="b">
        <f aca="false">FALSE()</f>
        <v>0</v>
      </c>
      <c r="AL17" s="70" t="n">
        <v>8161247</v>
      </c>
      <c r="AM17" s="71" t="b">
        <f aca="false">FALSE()</f>
        <v>0</v>
      </c>
      <c r="AO17" s="71" t="b">
        <f aca="false">FALSE()</f>
        <v>0</v>
      </c>
      <c r="AP17" s="22" t="n">
        <v>4842994</v>
      </c>
      <c r="AR17" s="70" t="n">
        <v>4842994</v>
      </c>
      <c r="AS17" s="22" t="n">
        <v>0</v>
      </c>
      <c r="AT17" s="71" t="b">
        <f aca="false">TRUE()</f>
        <v>1</v>
      </c>
      <c r="AU17" s="71" t="b">
        <f aca="false">FALSE()</f>
        <v>0</v>
      </c>
    </row>
    <row r="18" customFormat="false" ht="14.25" hidden="false" customHeight="true" outlineLevel="0" collapsed="false">
      <c r="A18" s="22" t="s">
        <v>443</v>
      </c>
      <c r="B18" s="22" t="s">
        <v>444</v>
      </c>
      <c r="C18" s="22" t="n">
        <v>20150101</v>
      </c>
      <c r="D18" s="22" t="n">
        <v>2015</v>
      </c>
      <c r="E18" s="22" t="n">
        <v>52</v>
      </c>
      <c r="F18" s="22" t="n">
        <v>2015</v>
      </c>
      <c r="G18" s="22" t="n">
        <v>699</v>
      </c>
      <c r="H18" s="22" t="s">
        <v>445</v>
      </c>
      <c r="I18" s="22" t="s">
        <v>333</v>
      </c>
      <c r="J18" s="22" t="s">
        <v>446</v>
      </c>
      <c r="K18" s="22" t="s">
        <v>447</v>
      </c>
      <c r="L18" s="22" t="n">
        <v>826</v>
      </c>
      <c r="M18" s="22" t="s">
        <v>448</v>
      </c>
      <c r="N18" s="22" t="s">
        <v>449</v>
      </c>
      <c r="O18" s="22" t="n">
        <v>0</v>
      </c>
      <c r="P18" s="22" t="s">
        <v>450</v>
      </c>
      <c r="Q18" s="22" t="s">
        <v>451</v>
      </c>
      <c r="R18" s="22" t="s">
        <v>452</v>
      </c>
      <c r="S18" s="22" t="s">
        <v>453</v>
      </c>
      <c r="T18" s="71" t="b">
        <f aca="false">TRUE()</f>
        <v>1</v>
      </c>
      <c r="U18" s="72" t="n">
        <v>7210</v>
      </c>
      <c r="V18" s="22" t="s">
        <v>462</v>
      </c>
      <c r="W18" s="22" t="n">
        <v>4</v>
      </c>
      <c r="X18" s="71" t="b">
        <f aca="false">FALSE()</f>
        <v>0</v>
      </c>
      <c r="Y18" s="22" t="s">
        <v>455</v>
      </c>
      <c r="Z18" s="22" t="s">
        <v>456</v>
      </c>
      <c r="AA18" s="22" t="n">
        <v>0</v>
      </c>
      <c r="AB18" s="22" t="n">
        <v>0</v>
      </c>
      <c r="AC18" s="22" t="s">
        <v>457</v>
      </c>
      <c r="AD18" s="22" t="n">
        <v>8</v>
      </c>
      <c r="AE18" s="22" t="s">
        <v>458</v>
      </c>
      <c r="AF18" s="22" t="n">
        <v>9043411</v>
      </c>
      <c r="AG18" s="71" t="b">
        <f aca="false">FALSE()</f>
        <v>0</v>
      </c>
      <c r="AH18" s="22" t="n">
        <v>-1</v>
      </c>
      <c r="AI18" s="22" t="s">
        <v>459</v>
      </c>
      <c r="AK18" s="71" t="b">
        <f aca="false">FALSE()</f>
        <v>0</v>
      </c>
      <c r="AL18" s="70" t="n">
        <v>9043411</v>
      </c>
      <c r="AM18" s="71" t="b">
        <f aca="false">FALSE()</f>
        <v>0</v>
      </c>
      <c r="AO18" s="71" t="b">
        <f aca="false">FALSE()</f>
        <v>0</v>
      </c>
      <c r="AP18" s="22" t="n">
        <v>4924865</v>
      </c>
      <c r="AR18" s="70" t="n">
        <v>4924865</v>
      </c>
      <c r="AS18" s="22" t="n">
        <v>0</v>
      </c>
      <c r="AT18" s="71" t="b">
        <f aca="false">TRUE()</f>
        <v>1</v>
      </c>
      <c r="AU18" s="71" t="b">
        <f aca="false">FALSE()</f>
        <v>0</v>
      </c>
    </row>
    <row r="19" customFormat="false" ht="14.25" hidden="false" customHeight="true" outlineLevel="0" collapsed="false">
      <c r="A19" s="22" t="s">
        <v>443</v>
      </c>
      <c r="B19" s="22" t="s">
        <v>444</v>
      </c>
      <c r="C19" s="22" t="n">
        <v>20160101</v>
      </c>
      <c r="D19" s="22" t="n">
        <v>2016</v>
      </c>
      <c r="E19" s="22" t="n">
        <v>52</v>
      </c>
      <c r="F19" s="22" t="n">
        <v>2016</v>
      </c>
      <c r="G19" s="22" t="n">
        <v>699</v>
      </c>
      <c r="H19" s="22" t="s">
        <v>445</v>
      </c>
      <c r="I19" s="22" t="s">
        <v>333</v>
      </c>
      <c r="J19" s="22" t="s">
        <v>446</v>
      </c>
      <c r="K19" s="22" t="s">
        <v>447</v>
      </c>
      <c r="L19" s="22" t="n">
        <v>826</v>
      </c>
      <c r="M19" s="22" t="s">
        <v>448</v>
      </c>
      <c r="N19" s="22" t="s">
        <v>449</v>
      </c>
      <c r="O19" s="22" t="n">
        <v>0</v>
      </c>
      <c r="P19" s="22" t="s">
        <v>450</v>
      </c>
      <c r="Q19" s="22" t="s">
        <v>451</v>
      </c>
      <c r="R19" s="22" t="s">
        <v>452</v>
      </c>
      <c r="S19" s="22" t="s">
        <v>453</v>
      </c>
      <c r="T19" s="71" t="b">
        <f aca="false">TRUE()</f>
        <v>1</v>
      </c>
      <c r="U19" s="72" t="n">
        <v>7210</v>
      </c>
      <c r="V19" s="22" t="s">
        <v>462</v>
      </c>
      <c r="W19" s="22" t="n">
        <v>4</v>
      </c>
      <c r="X19" s="71" t="b">
        <f aca="false">FALSE()</f>
        <v>0</v>
      </c>
      <c r="Y19" s="22" t="s">
        <v>455</v>
      </c>
      <c r="Z19" s="22" t="s">
        <v>456</v>
      </c>
      <c r="AA19" s="22" t="n">
        <v>0</v>
      </c>
      <c r="AB19" s="22" t="n">
        <v>0</v>
      </c>
      <c r="AC19" s="22" t="s">
        <v>457</v>
      </c>
      <c r="AD19" s="22" t="n">
        <v>8</v>
      </c>
      <c r="AE19" s="22" t="s">
        <v>458</v>
      </c>
      <c r="AF19" s="22" t="n">
        <v>2675493</v>
      </c>
      <c r="AG19" s="71" t="b">
        <f aca="false">FALSE()</f>
        <v>0</v>
      </c>
      <c r="AH19" s="22" t="n">
        <v>-1</v>
      </c>
      <c r="AI19" s="22" t="s">
        <v>459</v>
      </c>
      <c r="AK19" s="71" t="b">
        <f aca="false">FALSE()</f>
        <v>0</v>
      </c>
      <c r="AL19" s="70" t="n">
        <v>2675493</v>
      </c>
      <c r="AM19" s="71" t="b">
        <f aca="false">FALSE()</f>
        <v>0</v>
      </c>
      <c r="AO19" s="71" t="b">
        <f aca="false">FALSE()</f>
        <v>0</v>
      </c>
      <c r="AP19" s="22" t="n">
        <v>1435300</v>
      </c>
      <c r="AR19" s="70" t="n">
        <v>1435300</v>
      </c>
      <c r="AS19" s="22" t="n">
        <v>0</v>
      </c>
      <c r="AT19" s="71" t="b">
        <f aca="false">TRUE()</f>
        <v>1</v>
      </c>
      <c r="AU19" s="71" t="b">
        <f aca="false">FALSE()</f>
        <v>0</v>
      </c>
    </row>
    <row r="20" customFormat="false" ht="14.25" hidden="false" customHeight="true" outlineLevel="0" collapsed="false">
      <c r="A20" s="22" t="s">
        <v>443</v>
      </c>
      <c r="B20" s="22" t="s">
        <v>444</v>
      </c>
      <c r="C20" s="22" t="n">
        <v>20170101</v>
      </c>
      <c r="D20" s="22" t="n">
        <v>2017</v>
      </c>
      <c r="E20" s="22" t="n">
        <v>52</v>
      </c>
      <c r="F20" s="22" t="n">
        <v>2017</v>
      </c>
      <c r="G20" s="22" t="n">
        <v>699</v>
      </c>
      <c r="H20" s="22" t="s">
        <v>445</v>
      </c>
      <c r="I20" s="22" t="s">
        <v>333</v>
      </c>
      <c r="J20" s="22" t="s">
        <v>446</v>
      </c>
      <c r="K20" s="22" t="s">
        <v>447</v>
      </c>
      <c r="L20" s="22" t="n">
        <v>826</v>
      </c>
      <c r="M20" s="22" t="s">
        <v>448</v>
      </c>
      <c r="N20" s="22" t="s">
        <v>449</v>
      </c>
      <c r="O20" s="22" t="n">
        <v>0</v>
      </c>
      <c r="P20" s="22" t="s">
        <v>450</v>
      </c>
      <c r="Q20" s="22" t="s">
        <v>451</v>
      </c>
      <c r="R20" s="22" t="s">
        <v>460</v>
      </c>
      <c r="S20" s="22" t="s">
        <v>453</v>
      </c>
      <c r="T20" s="71" t="b">
        <f aca="false">TRUE()</f>
        <v>1</v>
      </c>
      <c r="U20" s="72" t="n">
        <v>7210</v>
      </c>
      <c r="V20" s="22" t="s">
        <v>462</v>
      </c>
      <c r="W20" s="22" t="n">
        <v>4</v>
      </c>
      <c r="X20" s="71" t="b">
        <f aca="false">FALSE()</f>
        <v>0</v>
      </c>
      <c r="Y20" s="22" t="s">
        <v>455</v>
      </c>
      <c r="Z20" s="22" t="s">
        <v>456</v>
      </c>
      <c r="AA20" s="22" t="n">
        <v>0</v>
      </c>
      <c r="AB20" s="22" t="n">
        <v>0</v>
      </c>
      <c r="AC20" s="22" t="s">
        <v>457</v>
      </c>
      <c r="AD20" s="22" t="n">
        <v>8</v>
      </c>
      <c r="AE20" s="22" t="s">
        <v>458</v>
      </c>
      <c r="AF20" s="22" t="n">
        <v>2087449</v>
      </c>
      <c r="AG20" s="71" t="b">
        <f aca="false">FALSE()</f>
        <v>0</v>
      </c>
      <c r="AH20" s="22" t="n">
        <v>8</v>
      </c>
      <c r="AI20" s="22" t="s">
        <v>458</v>
      </c>
      <c r="AJ20" s="22" t="n">
        <v>2087449</v>
      </c>
      <c r="AK20" s="71" t="b">
        <f aca="false">FALSE()</f>
        <v>0</v>
      </c>
      <c r="AL20" s="70" t="n">
        <v>2087449</v>
      </c>
      <c r="AM20" s="71" t="b">
        <f aca="false">FALSE()</f>
        <v>0</v>
      </c>
      <c r="AO20" s="71" t="b">
        <f aca="false">FALSE()</f>
        <v>0</v>
      </c>
      <c r="AP20" s="22" t="n">
        <v>1282451.726</v>
      </c>
      <c r="AR20" s="70" t="n">
        <v>1282451.726</v>
      </c>
      <c r="AS20" s="22" t="n">
        <v>0</v>
      </c>
      <c r="AT20" s="71" t="b">
        <f aca="false">FALSE()</f>
        <v>0</v>
      </c>
      <c r="AU20" s="71" t="b">
        <f aca="false">TRUE()</f>
        <v>1</v>
      </c>
    </row>
    <row r="21" customFormat="false" ht="14.25" hidden="false" customHeight="true" outlineLevel="0" collapsed="false">
      <c r="A21" s="22" t="s">
        <v>443</v>
      </c>
      <c r="B21" s="22" t="s">
        <v>444</v>
      </c>
      <c r="C21" s="22" t="n">
        <v>20180101</v>
      </c>
      <c r="D21" s="22" t="n">
        <v>2018</v>
      </c>
      <c r="E21" s="22" t="n">
        <v>52</v>
      </c>
      <c r="F21" s="22" t="n">
        <v>2018</v>
      </c>
      <c r="G21" s="22" t="n">
        <v>699</v>
      </c>
      <c r="H21" s="22" t="s">
        <v>445</v>
      </c>
      <c r="I21" s="22" t="s">
        <v>333</v>
      </c>
      <c r="J21" s="22" t="s">
        <v>446</v>
      </c>
      <c r="K21" s="22" t="s">
        <v>447</v>
      </c>
      <c r="L21" s="22" t="n">
        <v>826</v>
      </c>
      <c r="M21" s="22" t="s">
        <v>448</v>
      </c>
      <c r="N21" s="22" t="s">
        <v>449</v>
      </c>
      <c r="O21" s="22" t="n">
        <v>0</v>
      </c>
      <c r="P21" s="22" t="s">
        <v>450</v>
      </c>
      <c r="Q21" s="22" t="s">
        <v>451</v>
      </c>
      <c r="R21" s="22" t="s">
        <v>460</v>
      </c>
      <c r="S21" s="22" t="s">
        <v>453</v>
      </c>
      <c r="T21" s="71" t="b">
        <f aca="false">TRUE()</f>
        <v>1</v>
      </c>
      <c r="U21" s="72" t="n">
        <v>7210</v>
      </c>
      <c r="V21" s="22" t="s">
        <v>462</v>
      </c>
      <c r="W21" s="22" t="n">
        <v>4</v>
      </c>
      <c r="X21" s="71" t="b">
        <f aca="false">FALSE()</f>
        <v>0</v>
      </c>
      <c r="Y21" s="22" t="s">
        <v>455</v>
      </c>
      <c r="Z21" s="22" t="s">
        <v>456</v>
      </c>
      <c r="AA21" s="22" t="n">
        <v>0</v>
      </c>
      <c r="AB21" s="22" t="n">
        <v>0</v>
      </c>
      <c r="AC21" s="22" t="s">
        <v>457</v>
      </c>
      <c r="AD21" s="22" t="n">
        <v>8</v>
      </c>
      <c r="AE21" s="22" t="s">
        <v>458</v>
      </c>
      <c r="AF21" s="22" t="n">
        <v>3526307</v>
      </c>
      <c r="AG21" s="71" t="b">
        <f aca="false">FALSE()</f>
        <v>0</v>
      </c>
      <c r="AH21" s="22" t="n">
        <v>8</v>
      </c>
      <c r="AI21" s="22" t="s">
        <v>458</v>
      </c>
      <c r="AJ21" s="22" t="n">
        <v>3526307</v>
      </c>
      <c r="AK21" s="71" t="b">
        <f aca="false">FALSE()</f>
        <v>0</v>
      </c>
      <c r="AL21" s="70" t="n">
        <v>3526307</v>
      </c>
      <c r="AM21" s="71" t="b">
        <f aca="false">FALSE()</f>
        <v>0</v>
      </c>
      <c r="AO21" s="71" t="b">
        <f aca="false">FALSE()</f>
        <v>0</v>
      </c>
      <c r="AP21" s="22" t="n">
        <v>2118676.675</v>
      </c>
      <c r="AR21" s="70" t="n">
        <v>2118676.675</v>
      </c>
      <c r="AS21" s="22" t="n">
        <v>0</v>
      </c>
      <c r="AT21" s="71" t="b">
        <f aca="false">FALSE()</f>
        <v>0</v>
      </c>
      <c r="AU21" s="71" t="b">
        <f aca="false">TRUE()</f>
        <v>1</v>
      </c>
    </row>
    <row r="22" customFormat="false" ht="14.25" hidden="false" customHeight="true" outlineLevel="0" collapsed="false">
      <c r="A22" s="22" t="s">
        <v>443</v>
      </c>
      <c r="B22" s="22" t="s">
        <v>444</v>
      </c>
      <c r="C22" s="22" t="n">
        <v>20190101</v>
      </c>
      <c r="D22" s="22" t="n">
        <v>2019</v>
      </c>
      <c r="E22" s="22" t="n">
        <v>52</v>
      </c>
      <c r="F22" s="22" t="n">
        <v>2019</v>
      </c>
      <c r="G22" s="22" t="n">
        <v>699</v>
      </c>
      <c r="H22" s="22" t="s">
        <v>445</v>
      </c>
      <c r="I22" s="22" t="s">
        <v>333</v>
      </c>
      <c r="J22" s="22" t="s">
        <v>446</v>
      </c>
      <c r="K22" s="22" t="s">
        <v>447</v>
      </c>
      <c r="L22" s="22" t="n">
        <v>826</v>
      </c>
      <c r="M22" s="22" t="s">
        <v>448</v>
      </c>
      <c r="N22" s="22" t="s">
        <v>449</v>
      </c>
      <c r="O22" s="22" t="n">
        <v>0</v>
      </c>
      <c r="P22" s="22" t="s">
        <v>450</v>
      </c>
      <c r="Q22" s="22" t="s">
        <v>451</v>
      </c>
      <c r="R22" s="22" t="s">
        <v>460</v>
      </c>
      <c r="S22" s="22" t="s">
        <v>453</v>
      </c>
      <c r="T22" s="71" t="b">
        <f aca="false">TRUE()</f>
        <v>1</v>
      </c>
      <c r="U22" s="72" t="n">
        <v>7210</v>
      </c>
      <c r="V22" s="22" t="s">
        <v>462</v>
      </c>
      <c r="W22" s="22" t="n">
        <v>4</v>
      </c>
      <c r="X22" s="71" t="b">
        <f aca="false">FALSE()</f>
        <v>0</v>
      </c>
      <c r="Y22" s="22" t="s">
        <v>455</v>
      </c>
      <c r="Z22" s="22" t="s">
        <v>456</v>
      </c>
      <c r="AA22" s="22" t="n">
        <v>0</v>
      </c>
      <c r="AB22" s="22" t="n">
        <v>0</v>
      </c>
      <c r="AC22" s="22" t="s">
        <v>457</v>
      </c>
      <c r="AD22" s="22" t="n">
        <v>8</v>
      </c>
      <c r="AE22" s="22" t="s">
        <v>458</v>
      </c>
      <c r="AF22" s="22" t="n">
        <v>4103173.368</v>
      </c>
      <c r="AG22" s="71" t="b">
        <f aca="false">TRUE()</f>
        <v>1</v>
      </c>
      <c r="AH22" s="22" t="n">
        <v>-1</v>
      </c>
      <c r="AI22" s="22" t="s">
        <v>459</v>
      </c>
      <c r="AJ22" s="22" t="n">
        <v>0</v>
      </c>
      <c r="AK22" s="71" t="b">
        <f aca="false">FALSE()</f>
        <v>0</v>
      </c>
      <c r="AL22" s="70" t="n">
        <v>4103173.368</v>
      </c>
      <c r="AM22" s="71" t="b">
        <f aca="false">TRUE()</f>
        <v>1</v>
      </c>
      <c r="AN22" s="22" t="n">
        <v>0</v>
      </c>
      <c r="AO22" s="71" t="b">
        <f aca="false">FALSE()</f>
        <v>0</v>
      </c>
      <c r="AP22" s="22" t="n">
        <v>2344932.308</v>
      </c>
      <c r="AQ22" s="22" t="n">
        <v>0</v>
      </c>
      <c r="AR22" s="70" t="n">
        <v>2344932.308</v>
      </c>
      <c r="AS22" s="22" t="n">
        <v>6</v>
      </c>
      <c r="AT22" s="71" t="b">
        <f aca="false">FALSE()</f>
        <v>0</v>
      </c>
      <c r="AU22" s="71" t="b">
        <f aca="false">TRUE()</f>
        <v>1</v>
      </c>
    </row>
    <row r="23" customFormat="false" ht="14.25" hidden="false" customHeight="true" outlineLevel="0" collapsed="false">
      <c r="A23" s="22" t="s">
        <v>443</v>
      </c>
      <c r="B23" s="22" t="s">
        <v>444</v>
      </c>
      <c r="C23" s="22" t="n">
        <v>20200101</v>
      </c>
      <c r="D23" s="22" t="n">
        <v>2020</v>
      </c>
      <c r="E23" s="22" t="n">
        <v>52</v>
      </c>
      <c r="F23" s="22" t="n">
        <v>2020</v>
      </c>
      <c r="G23" s="22" t="n">
        <v>699</v>
      </c>
      <c r="H23" s="22" t="s">
        <v>445</v>
      </c>
      <c r="I23" s="22" t="s">
        <v>333</v>
      </c>
      <c r="J23" s="22" t="s">
        <v>446</v>
      </c>
      <c r="K23" s="22" t="s">
        <v>447</v>
      </c>
      <c r="L23" s="22" t="n">
        <v>826</v>
      </c>
      <c r="M23" s="22" t="s">
        <v>448</v>
      </c>
      <c r="N23" s="22" t="s">
        <v>449</v>
      </c>
      <c r="O23" s="22" t="n">
        <v>0</v>
      </c>
      <c r="P23" s="22" t="s">
        <v>450</v>
      </c>
      <c r="Q23" s="22" t="s">
        <v>451</v>
      </c>
      <c r="R23" s="22" t="s">
        <v>460</v>
      </c>
      <c r="S23" s="22" t="s">
        <v>453</v>
      </c>
      <c r="T23" s="71" t="b">
        <f aca="false">TRUE()</f>
        <v>1</v>
      </c>
      <c r="U23" s="72" t="n">
        <v>7210</v>
      </c>
      <c r="V23" s="22" t="s">
        <v>462</v>
      </c>
      <c r="W23" s="22" t="n">
        <v>4</v>
      </c>
      <c r="X23" s="71" t="b">
        <f aca="false">FALSE()</f>
        <v>0</v>
      </c>
      <c r="Y23" s="22" t="s">
        <v>455</v>
      </c>
      <c r="Z23" s="22" t="s">
        <v>456</v>
      </c>
      <c r="AA23" s="22" t="n">
        <v>0</v>
      </c>
      <c r="AB23" s="22" t="n">
        <v>0</v>
      </c>
      <c r="AC23" s="22" t="s">
        <v>457</v>
      </c>
      <c r="AD23" s="22" t="n">
        <v>8</v>
      </c>
      <c r="AE23" s="22" t="s">
        <v>458</v>
      </c>
      <c r="AF23" s="22" t="n">
        <v>1538441</v>
      </c>
      <c r="AG23" s="71" t="b">
        <f aca="false">FALSE()</f>
        <v>0</v>
      </c>
      <c r="AH23" s="22" t="n">
        <v>8</v>
      </c>
      <c r="AI23" s="22" t="s">
        <v>458</v>
      </c>
      <c r="AJ23" s="22" t="n">
        <v>1538441</v>
      </c>
      <c r="AK23" s="71" t="b">
        <f aca="false">FALSE()</f>
        <v>0</v>
      </c>
      <c r="AL23" s="70" t="n">
        <v>1538441</v>
      </c>
      <c r="AM23" s="71" t="b">
        <f aca="false">FALSE()</f>
        <v>0</v>
      </c>
      <c r="AN23" s="22" t="n">
        <v>0</v>
      </c>
      <c r="AO23" s="71" t="b">
        <f aca="false">FALSE()</f>
        <v>0</v>
      </c>
      <c r="AP23" s="22" t="n">
        <v>868088.858</v>
      </c>
      <c r="AQ23" s="22" t="n">
        <v>0</v>
      </c>
      <c r="AR23" s="70" t="n">
        <v>868088.858</v>
      </c>
      <c r="AS23" s="22" t="n">
        <v>0</v>
      </c>
      <c r="AT23" s="71" t="b">
        <f aca="false">FALSE()</f>
        <v>0</v>
      </c>
      <c r="AU23" s="71" t="b">
        <f aca="false">TRUE()</f>
        <v>1</v>
      </c>
    </row>
    <row r="24" customFormat="false" ht="14.25" hidden="false" customHeight="true" outlineLevel="0" collapsed="false">
      <c r="A24" s="22" t="s">
        <v>443</v>
      </c>
      <c r="B24" s="22" t="s">
        <v>444</v>
      </c>
      <c r="C24" s="22" t="n">
        <v>20210101</v>
      </c>
      <c r="D24" s="22" t="n">
        <v>2021</v>
      </c>
      <c r="E24" s="22" t="n">
        <v>52</v>
      </c>
      <c r="F24" s="22" t="n">
        <v>2021</v>
      </c>
      <c r="G24" s="22" t="n">
        <v>699</v>
      </c>
      <c r="H24" s="22" t="s">
        <v>445</v>
      </c>
      <c r="I24" s="22" t="s">
        <v>333</v>
      </c>
      <c r="J24" s="22" t="s">
        <v>446</v>
      </c>
      <c r="K24" s="22" t="s">
        <v>447</v>
      </c>
      <c r="L24" s="22" t="n">
        <v>826</v>
      </c>
      <c r="M24" s="22" t="s">
        <v>448</v>
      </c>
      <c r="N24" s="22" t="s">
        <v>449</v>
      </c>
      <c r="O24" s="22" t="n">
        <v>0</v>
      </c>
      <c r="P24" s="22" t="s">
        <v>450</v>
      </c>
      <c r="Q24" s="22" t="s">
        <v>451</v>
      </c>
      <c r="R24" s="22" t="s">
        <v>460</v>
      </c>
      <c r="S24" s="22" t="s">
        <v>453</v>
      </c>
      <c r="T24" s="71" t="b">
        <f aca="false">TRUE()</f>
        <v>1</v>
      </c>
      <c r="U24" s="72" t="n">
        <v>7210</v>
      </c>
      <c r="V24" s="22" t="s">
        <v>462</v>
      </c>
      <c r="W24" s="22" t="n">
        <v>4</v>
      </c>
      <c r="X24" s="71" t="b">
        <f aca="false">FALSE()</f>
        <v>0</v>
      </c>
      <c r="Y24" s="22" t="s">
        <v>455</v>
      </c>
      <c r="Z24" s="22" t="s">
        <v>456</v>
      </c>
      <c r="AA24" s="22" t="n">
        <v>0</v>
      </c>
      <c r="AB24" s="22" t="n">
        <v>0</v>
      </c>
      <c r="AC24" s="22" t="s">
        <v>457</v>
      </c>
      <c r="AD24" s="22" t="n">
        <v>8</v>
      </c>
      <c r="AE24" s="22" t="s">
        <v>458</v>
      </c>
      <c r="AF24" s="22" t="n">
        <v>1084643</v>
      </c>
      <c r="AG24" s="71" t="b">
        <f aca="false">FALSE()</f>
        <v>0</v>
      </c>
      <c r="AH24" s="22" t="n">
        <v>8</v>
      </c>
      <c r="AI24" s="22" t="s">
        <v>458</v>
      </c>
      <c r="AJ24" s="22" t="n">
        <v>1084643</v>
      </c>
      <c r="AK24" s="71" t="b">
        <f aca="false">FALSE()</f>
        <v>0</v>
      </c>
      <c r="AL24" s="70" t="n">
        <v>1084643</v>
      </c>
      <c r="AM24" s="71" t="b">
        <f aca="false">FALSE()</f>
        <v>0</v>
      </c>
      <c r="AN24" s="22" t="n">
        <v>0</v>
      </c>
      <c r="AO24" s="71" t="b">
        <f aca="false">FALSE()</f>
        <v>0</v>
      </c>
      <c r="AP24" s="22" t="n">
        <v>679150.677</v>
      </c>
      <c r="AQ24" s="22" t="n">
        <v>0</v>
      </c>
      <c r="AR24" s="70" t="n">
        <v>679150.677</v>
      </c>
      <c r="AS24" s="22" t="n">
        <v>0</v>
      </c>
      <c r="AT24" s="71" t="b">
        <f aca="false">FALSE()</f>
        <v>0</v>
      </c>
      <c r="AU24" s="71" t="b">
        <f aca="false">TRUE()</f>
        <v>1</v>
      </c>
    </row>
    <row r="25" customFormat="false" ht="14.25" hidden="false" customHeight="true" outlineLevel="0" collapsed="false">
      <c r="A25" s="22" t="s">
        <v>443</v>
      </c>
      <c r="B25" s="22" t="s">
        <v>444</v>
      </c>
      <c r="C25" s="22" t="n">
        <v>20220101</v>
      </c>
      <c r="D25" s="22" t="n">
        <v>2022</v>
      </c>
      <c r="E25" s="22" t="n">
        <v>52</v>
      </c>
      <c r="F25" s="22" t="n">
        <v>2022</v>
      </c>
      <c r="G25" s="22" t="n">
        <v>699</v>
      </c>
      <c r="H25" s="22" t="s">
        <v>445</v>
      </c>
      <c r="I25" s="22" t="s">
        <v>333</v>
      </c>
      <c r="J25" s="22" t="s">
        <v>446</v>
      </c>
      <c r="K25" s="22" t="s">
        <v>447</v>
      </c>
      <c r="L25" s="22" t="n">
        <v>826</v>
      </c>
      <c r="M25" s="22" t="s">
        <v>448</v>
      </c>
      <c r="N25" s="22" t="s">
        <v>449</v>
      </c>
      <c r="O25" s="22" t="n">
        <v>0</v>
      </c>
      <c r="P25" s="22" t="s">
        <v>450</v>
      </c>
      <c r="Q25" s="22" t="s">
        <v>451</v>
      </c>
      <c r="R25" s="22" t="s">
        <v>461</v>
      </c>
      <c r="S25" s="22" t="s">
        <v>453</v>
      </c>
      <c r="T25" s="71" t="b">
        <f aca="false">TRUE()</f>
        <v>1</v>
      </c>
      <c r="U25" s="72" t="n">
        <v>7210</v>
      </c>
      <c r="V25" s="22" t="s">
        <v>462</v>
      </c>
      <c r="W25" s="22" t="n">
        <v>4</v>
      </c>
      <c r="X25" s="71" t="b">
        <f aca="false">FALSE()</f>
        <v>0</v>
      </c>
      <c r="Y25" s="22" t="s">
        <v>455</v>
      </c>
      <c r="Z25" s="22" t="s">
        <v>456</v>
      </c>
      <c r="AA25" s="22" t="n">
        <v>0</v>
      </c>
      <c r="AB25" s="22" t="n">
        <v>0</v>
      </c>
      <c r="AC25" s="22" t="s">
        <v>457</v>
      </c>
      <c r="AD25" s="22" t="n">
        <v>8</v>
      </c>
      <c r="AE25" s="22" t="s">
        <v>458</v>
      </c>
      <c r="AF25" s="22" t="n">
        <v>215498</v>
      </c>
      <c r="AG25" s="71" t="b">
        <f aca="false">FALSE()</f>
        <v>0</v>
      </c>
      <c r="AH25" s="22" t="n">
        <v>8</v>
      </c>
      <c r="AI25" s="22" t="s">
        <v>458</v>
      </c>
      <c r="AJ25" s="22" t="n">
        <v>215498</v>
      </c>
      <c r="AK25" s="71" t="b">
        <f aca="false">FALSE()</f>
        <v>0</v>
      </c>
      <c r="AL25" s="70" t="n">
        <v>215498</v>
      </c>
      <c r="AM25" s="71" t="b">
        <f aca="false">FALSE()</f>
        <v>0</v>
      </c>
      <c r="AN25" s="22" t="n">
        <v>0</v>
      </c>
      <c r="AO25" s="71" t="b">
        <f aca="false">FALSE()</f>
        <v>0</v>
      </c>
      <c r="AP25" s="22" t="n">
        <v>209201.397</v>
      </c>
      <c r="AR25" s="70" t="n">
        <v>209201.397</v>
      </c>
      <c r="AS25" s="22" t="n">
        <v>0</v>
      </c>
      <c r="AT25" s="71" t="b">
        <f aca="false">FALSE()</f>
        <v>0</v>
      </c>
      <c r="AU25" s="71" t="b">
        <f aca="false">TRUE()</f>
        <v>1</v>
      </c>
    </row>
    <row r="26" customFormat="false" ht="14.25" hidden="false" customHeight="true" outlineLevel="0" collapsed="false">
      <c r="A26" s="22" t="s">
        <v>443</v>
      </c>
      <c r="B26" s="22" t="s">
        <v>444</v>
      </c>
      <c r="C26" s="22" t="n">
        <v>20230101</v>
      </c>
      <c r="D26" s="22" t="n">
        <v>2023</v>
      </c>
      <c r="E26" s="22" t="n">
        <v>52</v>
      </c>
      <c r="F26" s="22" t="n">
        <v>2023</v>
      </c>
      <c r="G26" s="22" t="n">
        <v>699</v>
      </c>
      <c r="H26" s="22" t="s">
        <v>445</v>
      </c>
      <c r="I26" s="22" t="s">
        <v>333</v>
      </c>
      <c r="J26" s="22" t="s">
        <v>446</v>
      </c>
      <c r="K26" s="22" t="s">
        <v>447</v>
      </c>
      <c r="L26" s="22" t="n">
        <v>826</v>
      </c>
      <c r="M26" s="22" t="s">
        <v>448</v>
      </c>
      <c r="N26" s="22" t="s">
        <v>449</v>
      </c>
      <c r="O26" s="22" t="n">
        <v>0</v>
      </c>
      <c r="P26" s="22" t="s">
        <v>450</v>
      </c>
      <c r="Q26" s="22" t="s">
        <v>451</v>
      </c>
      <c r="R26" s="22" t="s">
        <v>461</v>
      </c>
      <c r="S26" s="22" t="s">
        <v>453</v>
      </c>
      <c r="T26" s="71" t="b">
        <f aca="false">TRUE()</f>
        <v>1</v>
      </c>
      <c r="U26" s="72" t="n">
        <v>7210</v>
      </c>
      <c r="V26" s="22" t="s">
        <v>462</v>
      </c>
      <c r="W26" s="22" t="n">
        <v>4</v>
      </c>
      <c r="X26" s="71" t="b">
        <f aca="false">FALSE()</f>
        <v>0</v>
      </c>
      <c r="Y26" s="22" t="s">
        <v>455</v>
      </c>
      <c r="Z26" s="22" t="s">
        <v>456</v>
      </c>
      <c r="AA26" s="22" t="n">
        <v>0</v>
      </c>
      <c r="AB26" s="22" t="n">
        <v>0</v>
      </c>
      <c r="AC26" s="22" t="s">
        <v>457</v>
      </c>
      <c r="AD26" s="22" t="n">
        <v>8</v>
      </c>
      <c r="AE26" s="22" t="s">
        <v>458</v>
      </c>
      <c r="AF26" s="22" t="n">
        <v>2003639</v>
      </c>
      <c r="AG26" s="71" t="b">
        <f aca="false">FALSE()</f>
        <v>0</v>
      </c>
      <c r="AH26" s="22" t="n">
        <v>8</v>
      </c>
      <c r="AI26" s="22" t="s">
        <v>458</v>
      </c>
      <c r="AJ26" s="22" t="n">
        <v>2003639</v>
      </c>
      <c r="AK26" s="71" t="b">
        <f aca="false">FALSE()</f>
        <v>0</v>
      </c>
      <c r="AL26" s="70" t="n">
        <v>2003639</v>
      </c>
      <c r="AM26" s="71" t="b">
        <f aca="false">FALSE()</f>
        <v>0</v>
      </c>
      <c r="AN26" s="22" t="n">
        <v>0</v>
      </c>
      <c r="AO26" s="71" t="b">
        <f aca="false">FALSE()</f>
        <v>0</v>
      </c>
      <c r="AP26" s="22" t="n">
        <v>1023474.852</v>
      </c>
      <c r="AR26" s="70" t="n">
        <v>1023474.852</v>
      </c>
      <c r="AS26" s="22" t="n">
        <v>0</v>
      </c>
      <c r="AT26" s="71" t="b">
        <f aca="false">FALSE()</f>
        <v>0</v>
      </c>
      <c r="AU26" s="71" t="b">
        <f aca="false">TRUE()</f>
        <v>1</v>
      </c>
    </row>
    <row r="27" customFormat="false" ht="14.25" hidden="false" customHeight="true" outlineLevel="0" collapsed="false">
      <c r="A27" s="22" t="s">
        <v>443</v>
      </c>
      <c r="B27" s="22" t="s">
        <v>444</v>
      </c>
      <c r="C27" s="22" t="n">
        <v>20240101</v>
      </c>
      <c r="D27" s="22" t="n">
        <v>2024</v>
      </c>
      <c r="E27" s="22" t="n">
        <v>52</v>
      </c>
      <c r="F27" s="22" t="n">
        <v>2024</v>
      </c>
      <c r="G27" s="22" t="n">
        <v>699</v>
      </c>
      <c r="H27" s="22" t="s">
        <v>445</v>
      </c>
      <c r="I27" s="22" t="s">
        <v>333</v>
      </c>
      <c r="J27" s="22" t="s">
        <v>446</v>
      </c>
      <c r="K27" s="22" t="s">
        <v>447</v>
      </c>
      <c r="L27" s="22" t="n">
        <v>826</v>
      </c>
      <c r="M27" s="22" t="s">
        <v>448</v>
      </c>
      <c r="N27" s="22" t="s">
        <v>449</v>
      </c>
      <c r="O27" s="22" t="n">
        <v>0</v>
      </c>
      <c r="P27" s="22" t="s">
        <v>450</v>
      </c>
      <c r="Q27" s="22" t="s">
        <v>451</v>
      </c>
      <c r="R27" s="22" t="s">
        <v>461</v>
      </c>
      <c r="S27" s="22" t="s">
        <v>453</v>
      </c>
      <c r="T27" s="71" t="b">
        <f aca="false">TRUE()</f>
        <v>1</v>
      </c>
      <c r="U27" s="72" t="n">
        <v>7210</v>
      </c>
      <c r="V27" s="22" t="s">
        <v>462</v>
      </c>
      <c r="W27" s="22" t="n">
        <v>4</v>
      </c>
      <c r="X27" s="71" t="b">
        <f aca="false">FALSE()</f>
        <v>0</v>
      </c>
      <c r="Y27" s="22" t="s">
        <v>455</v>
      </c>
      <c r="Z27" s="22" t="s">
        <v>456</v>
      </c>
      <c r="AA27" s="22" t="n">
        <v>0</v>
      </c>
      <c r="AB27" s="22" t="n">
        <v>0</v>
      </c>
      <c r="AC27" s="22" t="s">
        <v>457</v>
      </c>
      <c r="AD27" s="22" t="n">
        <v>8</v>
      </c>
      <c r="AE27" s="22" t="s">
        <v>458</v>
      </c>
      <c r="AF27" s="22" t="n">
        <v>2628415</v>
      </c>
      <c r="AG27" s="71" t="b">
        <f aca="false">FALSE()</f>
        <v>0</v>
      </c>
      <c r="AH27" s="22" t="n">
        <v>8</v>
      </c>
      <c r="AI27" s="22" t="s">
        <v>458</v>
      </c>
      <c r="AJ27" s="22" t="n">
        <v>2628415</v>
      </c>
      <c r="AK27" s="71" t="b">
        <f aca="false">FALSE()</f>
        <v>0</v>
      </c>
      <c r="AL27" s="70" t="n">
        <v>2628415</v>
      </c>
      <c r="AM27" s="71" t="b">
        <f aca="false">FALSE()</f>
        <v>0</v>
      </c>
      <c r="AN27" s="22" t="n">
        <v>0</v>
      </c>
      <c r="AO27" s="71" t="b">
        <f aca="false">FALSE()</f>
        <v>0</v>
      </c>
      <c r="AP27" s="22" t="n">
        <v>1227850.731</v>
      </c>
      <c r="AR27" s="70" t="n">
        <v>1227850.731</v>
      </c>
      <c r="AS27" s="22" t="n">
        <v>0</v>
      </c>
      <c r="AT27" s="71" t="b">
        <f aca="false">FALSE()</f>
        <v>0</v>
      </c>
      <c r="AU27" s="71" t="b">
        <f aca="false">TRUE()</f>
        <v>1</v>
      </c>
    </row>
    <row r="28" customFormat="false" ht="14.25" hidden="false" customHeight="true" outlineLevel="0" collapsed="false">
      <c r="AL28" s="70"/>
      <c r="AR28" s="70"/>
    </row>
    <row r="29" customFormat="false" ht="14.25" hidden="false" customHeight="true" outlineLevel="0" collapsed="false">
      <c r="AL29" s="70"/>
      <c r="AR29" s="70"/>
    </row>
    <row r="30" customFormat="false" ht="14.25" hidden="false" customHeight="true" outlineLevel="0" collapsed="false">
      <c r="AL30" s="70"/>
      <c r="AR30" s="70"/>
    </row>
    <row r="31" customFormat="false" ht="14.25" hidden="false" customHeight="true" outlineLevel="0" collapsed="false">
      <c r="A31" s="22" t="s">
        <v>396</v>
      </c>
      <c r="B31" s="22" t="s">
        <v>397</v>
      </c>
      <c r="C31" s="22" t="s">
        <v>398</v>
      </c>
      <c r="D31" s="22" t="s">
        <v>399</v>
      </c>
      <c r="E31" s="22" t="s">
        <v>400</v>
      </c>
      <c r="F31" s="22" t="s">
        <v>401</v>
      </c>
      <c r="G31" s="22" t="s">
        <v>402</v>
      </c>
      <c r="H31" s="22" t="s">
        <v>403</v>
      </c>
      <c r="I31" s="22" t="s">
        <v>404</v>
      </c>
      <c r="J31" s="22" t="s">
        <v>405</v>
      </c>
      <c r="K31" s="22" t="s">
        <v>406</v>
      </c>
      <c r="L31" s="22" t="s">
        <v>407</v>
      </c>
      <c r="M31" s="22" t="s">
        <v>408</v>
      </c>
      <c r="N31" s="22" t="s">
        <v>409</v>
      </c>
      <c r="O31" s="22" t="s">
        <v>410</v>
      </c>
      <c r="P31" s="22" t="s">
        <v>411</v>
      </c>
      <c r="Q31" s="22" t="s">
        <v>412</v>
      </c>
      <c r="R31" s="22" t="s">
        <v>413</v>
      </c>
      <c r="S31" s="22" t="s">
        <v>414</v>
      </c>
      <c r="T31" s="22" t="s">
        <v>415</v>
      </c>
      <c r="U31" s="73" t="s">
        <v>416</v>
      </c>
      <c r="V31" s="22" t="s">
        <v>417</v>
      </c>
      <c r="W31" s="22" t="s">
        <v>418</v>
      </c>
      <c r="X31" s="22" t="s">
        <v>419</v>
      </c>
      <c r="Y31" s="22" t="s">
        <v>420</v>
      </c>
      <c r="Z31" s="22" t="s">
        <v>421</v>
      </c>
      <c r="AA31" s="22" t="s">
        <v>422</v>
      </c>
      <c r="AB31" s="22" t="s">
        <v>423</v>
      </c>
      <c r="AC31" s="22" t="s">
        <v>424</v>
      </c>
      <c r="AD31" s="22" t="s">
        <v>425</v>
      </c>
      <c r="AE31" s="22" t="s">
        <v>426</v>
      </c>
      <c r="AF31" s="22" t="s">
        <v>427</v>
      </c>
      <c r="AG31" s="22" t="s">
        <v>428</v>
      </c>
      <c r="AH31" s="22" t="s">
        <v>429</v>
      </c>
      <c r="AI31" s="22" t="s">
        <v>430</v>
      </c>
      <c r="AJ31" s="22" t="s">
        <v>431</v>
      </c>
      <c r="AK31" s="22" t="s">
        <v>432</v>
      </c>
      <c r="AL31" s="70" t="s">
        <v>433</v>
      </c>
      <c r="AM31" s="22" t="s">
        <v>434</v>
      </c>
      <c r="AN31" s="22" t="s">
        <v>435</v>
      </c>
      <c r="AO31" s="22" t="s">
        <v>436</v>
      </c>
      <c r="AP31" s="22" t="s">
        <v>437</v>
      </c>
      <c r="AQ31" s="22" t="s">
        <v>438</v>
      </c>
      <c r="AR31" s="70" t="s">
        <v>439</v>
      </c>
      <c r="AS31" s="22" t="s">
        <v>440</v>
      </c>
      <c r="AT31" s="22" t="s">
        <v>441</v>
      </c>
      <c r="AU31" s="22" t="s">
        <v>442</v>
      </c>
    </row>
    <row r="32" customFormat="false" ht="14.25" hidden="false" customHeight="true" outlineLevel="0" collapsed="false">
      <c r="A32" s="22" t="s">
        <v>443</v>
      </c>
      <c r="B32" s="22" t="s">
        <v>444</v>
      </c>
      <c r="C32" s="22" t="n">
        <v>20140101</v>
      </c>
      <c r="D32" s="22" t="n">
        <v>2014</v>
      </c>
      <c r="E32" s="22" t="n">
        <v>52</v>
      </c>
      <c r="F32" s="22" t="n">
        <v>2014</v>
      </c>
      <c r="G32" s="22" t="n">
        <v>699</v>
      </c>
      <c r="H32" s="22" t="s">
        <v>445</v>
      </c>
      <c r="I32" s="22" t="s">
        <v>333</v>
      </c>
      <c r="J32" s="22" t="s">
        <v>446</v>
      </c>
      <c r="K32" s="22" t="s">
        <v>447</v>
      </c>
      <c r="L32" s="22" t="n">
        <v>826</v>
      </c>
      <c r="M32" s="22" t="s">
        <v>448</v>
      </c>
      <c r="N32" s="22" t="s">
        <v>449</v>
      </c>
      <c r="O32" s="22" t="n">
        <v>0</v>
      </c>
      <c r="P32" s="22" t="s">
        <v>450</v>
      </c>
      <c r="Q32" s="22" t="s">
        <v>451</v>
      </c>
      <c r="R32" s="22" t="s">
        <v>452</v>
      </c>
      <c r="S32" s="22" t="s">
        <v>453</v>
      </c>
      <c r="T32" s="71" t="b">
        <f aca="false">TRUE()</f>
        <v>1</v>
      </c>
      <c r="U32" s="73" t="n">
        <v>7304</v>
      </c>
      <c r="V32" s="22" t="s">
        <v>463</v>
      </c>
      <c r="W32" s="22" t="n">
        <v>4</v>
      </c>
      <c r="X32" s="71" t="b">
        <f aca="false">FALSE()</f>
        <v>0</v>
      </c>
      <c r="Y32" s="22" t="s">
        <v>455</v>
      </c>
      <c r="Z32" s="22" t="s">
        <v>456</v>
      </c>
      <c r="AA32" s="22" t="n">
        <v>0</v>
      </c>
      <c r="AB32" s="22" t="n">
        <v>0</v>
      </c>
      <c r="AC32" s="22" t="s">
        <v>457</v>
      </c>
      <c r="AD32" s="22" t="n">
        <v>8</v>
      </c>
      <c r="AE32" s="22" t="s">
        <v>458</v>
      </c>
      <c r="AF32" s="22" t="n">
        <v>2985146</v>
      </c>
      <c r="AG32" s="71" t="b">
        <f aca="false">FALSE()</f>
        <v>0</v>
      </c>
      <c r="AH32" s="22" t="n">
        <v>-1</v>
      </c>
      <c r="AI32" s="22" t="s">
        <v>459</v>
      </c>
      <c r="AK32" s="71" t="b">
        <f aca="false">FALSE()</f>
        <v>0</v>
      </c>
      <c r="AL32" s="70" t="n">
        <v>2985146</v>
      </c>
      <c r="AM32" s="71" t="b">
        <f aca="false">FALSE()</f>
        <v>0</v>
      </c>
      <c r="AO32" s="71" t="b">
        <f aca="false">FALSE()</f>
        <v>0</v>
      </c>
      <c r="AP32" s="22" t="n">
        <v>7940944</v>
      </c>
      <c r="AR32" s="70" t="n">
        <v>7940944</v>
      </c>
      <c r="AS32" s="22" t="n">
        <v>0</v>
      </c>
      <c r="AT32" s="71" t="b">
        <f aca="false">TRUE()</f>
        <v>1</v>
      </c>
      <c r="AU32" s="71" t="b">
        <f aca="false">FALSE()</f>
        <v>0</v>
      </c>
    </row>
    <row r="33" customFormat="false" ht="14.25" hidden="false" customHeight="true" outlineLevel="0" collapsed="false">
      <c r="A33" s="22" t="s">
        <v>443</v>
      </c>
      <c r="B33" s="22" t="s">
        <v>444</v>
      </c>
      <c r="C33" s="22" t="n">
        <v>20150101</v>
      </c>
      <c r="D33" s="22" t="n">
        <v>2015</v>
      </c>
      <c r="E33" s="22" t="n">
        <v>52</v>
      </c>
      <c r="F33" s="22" t="n">
        <v>2015</v>
      </c>
      <c r="G33" s="22" t="n">
        <v>699</v>
      </c>
      <c r="H33" s="22" t="s">
        <v>445</v>
      </c>
      <c r="I33" s="22" t="s">
        <v>333</v>
      </c>
      <c r="J33" s="22" t="s">
        <v>446</v>
      </c>
      <c r="K33" s="22" t="s">
        <v>447</v>
      </c>
      <c r="L33" s="22" t="n">
        <v>826</v>
      </c>
      <c r="M33" s="22" t="s">
        <v>448</v>
      </c>
      <c r="N33" s="22" t="s">
        <v>449</v>
      </c>
      <c r="O33" s="22" t="n">
        <v>0</v>
      </c>
      <c r="P33" s="22" t="s">
        <v>450</v>
      </c>
      <c r="Q33" s="22" t="s">
        <v>451</v>
      </c>
      <c r="R33" s="22" t="s">
        <v>452</v>
      </c>
      <c r="S33" s="22" t="s">
        <v>453</v>
      </c>
      <c r="T33" s="71" t="b">
        <f aca="false">TRUE()</f>
        <v>1</v>
      </c>
      <c r="U33" s="73" t="n">
        <v>7304</v>
      </c>
      <c r="V33" s="22" t="s">
        <v>463</v>
      </c>
      <c r="W33" s="22" t="n">
        <v>4</v>
      </c>
      <c r="X33" s="71" t="b">
        <f aca="false">FALSE()</f>
        <v>0</v>
      </c>
      <c r="Y33" s="22" t="s">
        <v>455</v>
      </c>
      <c r="Z33" s="22" t="s">
        <v>456</v>
      </c>
      <c r="AA33" s="22" t="n">
        <v>0</v>
      </c>
      <c r="AB33" s="22" t="n">
        <v>0</v>
      </c>
      <c r="AC33" s="22" t="s">
        <v>457</v>
      </c>
      <c r="AD33" s="22" t="n">
        <v>8</v>
      </c>
      <c r="AE33" s="22" t="s">
        <v>458</v>
      </c>
      <c r="AF33" s="22" t="n">
        <v>1235078</v>
      </c>
      <c r="AG33" s="71" t="b">
        <f aca="false">FALSE()</f>
        <v>0</v>
      </c>
      <c r="AH33" s="22" t="n">
        <v>-1</v>
      </c>
      <c r="AI33" s="22" t="s">
        <v>459</v>
      </c>
      <c r="AK33" s="71" t="b">
        <f aca="false">FALSE()</f>
        <v>0</v>
      </c>
      <c r="AL33" s="70" t="n">
        <v>1235078</v>
      </c>
      <c r="AM33" s="71" t="b">
        <f aca="false">FALSE()</f>
        <v>0</v>
      </c>
      <c r="AO33" s="71" t="b">
        <f aca="false">FALSE()</f>
        <v>0</v>
      </c>
      <c r="AP33" s="22" t="n">
        <v>1531108</v>
      </c>
      <c r="AR33" s="70" t="n">
        <v>1531108</v>
      </c>
      <c r="AS33" s="22" t="n">
        <v>0</v>
      </c>
      <c r="AT33" s="71" t="b">
        <f aca="false">TRUE()</f>
        <v>1</v>
      </c>
      <c r="AU33" s="71" t="b">
        <f aca="false">FALSE()</f>
        <v>0</v>
      </c>
    </row>
    <row r="34" customFormat="false" ht="14.25" hidden="false" customHeight="true" outlineLevel="0" collapsed="false">
      <c r="A34" s="22" t="s">
        <v>443</v>
      </c>
      <c r="B34" s="22" t="s">
        <v>444</v>
      </c>
      <c r="C34" s="22" t="n">
        <v>20160101</v>
      </c>
      <c r="D34" s="22" t="n">
        <v>2016</v>
      </c>
      <c r="E34" s="22" t="n">
        <v>52</v>
      </c>
      <c r="F34" s="22" t="n">
        <v>2016</v>
      </c>
      <c r="G34" s="22" t="n">
        <v>699</v>
      </c>
      <c r="H34" s="22" t="s">
        <v>445</v>
      </c>
      <c r="I34" s="22" t="s">
        <v>333</v>
      </c>
      <c r="J34" s="22" t="s">
        <v>446</v>
      </c>
      <c r="K34" s="22" t="s">
        <v>447</v>
      </c>
      <c r="L34" s="22" t="n">
        <v>826</v>
      </c>
      <c r="M34" s="22" t="s">
        <v>448</v>
      </c>
      <c r="N34" s="22" t="s">
        <v>449</v>
      </c>
      <c r="O34" s="22" t="n">
        <v>0</v>
      </c>
      <c r="P34" s="22" t="s">
        <v>450</v>
      </c>
      <c r="Q34" s="22" t="s">
        <v>451</v>
      </c>
      <c r="R34" s="22" t="s">
        <v>452</v>
      </c>
      <c r="S34" s="22" t="s">
        <v>453</v>
      </c>
      <c r="T34" s="71" t="b">
        <f aca="false">TRUE()</f>
        <v>1</v>
      </c>
      <c r="U34" s="73" t="n">
        <v>7304</v>
      </c>
      <c r="V34" s="22" t="s">
        <v>463</v>
      </c>
      <c r="W34" s="22" t="n">
        <v>4</v>
      </c>
      <c r="X34" s="71" t="b">
        <f aca="false">FALSE()</f>
        <v>0</v>
      </c>
      <c r="Y34" s="22" t="s">
        <v>455</v>
      </c>
      <c r="Z34" s="22" t="s">
        <v>456</v>
      </c>
      <c r="AA34" s="22" t="n">
        <v>0</v>
      </c>
      <c r="AB34" s="22" t="n">
        <v>0</v>
      </c>
      <c r="AC34" s="22" t="s">
        <v>457</v>
      </c>
      <c r="AD34" s="22" t="n">
        <v>8</v>
      </c>
      <c r="AE34" s="22" t="s">
        <v>458</v>
      </c>
      <c r="AF34" s="22" t="n">
        <v>3124893</v>
      </c>
      <c r="AG34" s="71" t="b">
        <f aca="false">FALSE()</f>
        <v>0</v>
      </c>
      <c r="AH34" s="22" t="n">
        <v>-1</v>
      </c>
      <c r="AI34" s="22" t="s">
        <v>459</v>
      </c>
      <c r="AK34" s="71" t="b">
        <f aca="false">FALSE()</f>
        <v>0</v>
      </c>
      <c r="AL34" s="70" t="n">
        <v>3124893</v>
      </c>
      <c r="AM34" s="71" t="b">
        <f aca="false">FALSE()</f>
        <v>0</v>
      </c>
      <c r="AO34" s="71" t="b">
        <f aca="false">FALSE()</f>
        <v>0</v>
      </c>
      <c r="AP34" s="22" t="n">
        <v>3904241</v>
      </c>
      <c r="AR34" s="70" t="n">
        <v>3904241</v>
      </c>
      <c r="AS34" s="22" t="n">
        <v>0</v>
      </c>
      <c r="AT34" s="71" t="b">
        <f aca="false">TRUE()</f>
        <v>1</v>
      </c>
      <c r="AU34" s="71" t="b">
        <f aca="false">FALSE()</f>
        <v>0</v>
      </c>
    </row>
    <row r="35" customFormat="false" ht="14.25" hidden="false" customHeight="true" outlineLevel="0" collapsed="false">
      <c r="A35" s="22" t="s">
        <v>443</v>
      </c>
      <c r="B35" s="22" t="s">
        <v>444</v>
      </c>
      <c r="C35" s="22" t="n">
        <v>20170101</v>
      </c>
      <c r="D35" s="22" t="n">
        <v>2017</v>
      </c>
      <c r="E35" s="22" t="n">
        <v>52</v>
      </c>
      <c r="F35" s="22" t="n">
        <v>2017</v>
      </c>
      <c r="G35" s="22" t="n">
        <v>699</v>
      </c>
      <c r="H35" s="22" t="s">
        <v>445</v>
      </c>
      <c r="I35" s="22" t="s">
        <v>333</v>
      </c>
      <c r="J35" s="22" t="s">
        <v>446</v>
      </c>
      <c r="K35" s="22" t="s">
        <v>447</v>
      </c>
      <c r="L35" s="22" t="n">
        <v>826</v>
      </c>
      <c r="M35" s="22" t="s">
        <v>448</v>
      </c>
      <c r="N35" s="22" t="s">
        <v>449</v>
      </c>
      <c r="O35" s="22" t="n">
        <v>0</v>
      </c>
      <c r="P35" s="22" t="s">
        <v>450</v>
      </c>
      <c r="Q35" s="22" t="s">
        <v>451</v>
      </c>
      <c r="R35" s="22" t="s">
        <v>460</v>
      </c>
      <c r="S35" s="22" t="s">
        <v>453</v>
      </c>
      <c r="T35" s="71" t="b">
        <f aca="false">TRUE()</f>
        <v>1</v>
      </c>
      <c r="U35" s="73" t="n">
        <v>7304</v>
      </c>
      <c r="V35" s="22" t="s">
        <v>463</v>
      </c>
      <c r="W35" s="22" t="n">
        <v>4</v>
      </c>
      <c r="X35" s="71" t="b">
        <f aca="false">FALSE()</f>
        <v>0</v>
      </c>
      <c r="Y35" s="22" t="s">
        <v>455</v>
      </c>
      <c r="Z35" s="22" t="s">
        <v>456</v>
      </c>
      <c r="AA35" s="22" t="n">
        <v>0</v>
      </c>
      <c r="AB35" s="22" t="n">
        <v>0</v>
      </c>
      <c r="AC35" s="22" t="s">
        <v>457</v>
      </c>
      <c r="AD35" s="22" t="n">
        <v>8</v>
      </c>
      <c r="AE35" s="22" t="s">
        <v>458</v>
      </c>
      <c r="AF35" s="22" t="n">
        <v>2044714</v>
      </c>
      <c r="AG35" s="71" t="b">
        <f aca="false">FALSE()</f>
        <v>0</v>
      </c>
      <c r="AH35" s="22" t="n">
        <v>8</v>
      </c>
      <c r="AI35" s="22" t="s">
        <v>458</v>
      </c>
      <c r="AJ35" s="22" t="n">
        <v>2044714</v>
      </c>
      <c r="AK35" s="71" t="b">
        <f aca="false">FALSE()</f>
        <v>0</v>
      </c>
      <c r="AL35" s="70" t="n">
        <v>2044714</v>
      </c>
      <c r="AM35" s="71" t="b">
        <f aca="false">FALSE()</f>
        <v>0</v>
      </c>
      <c r="AO35" s="71" t="b">
        <f aca="false">FALSE()</f>
        <v>0</v>
      </c>
      <c r="AP35" s="22" t="n">
        <v>1969224.238</v>
      </c>
      <c r="AR35" s="70" t="n">
        <v>1969224.238</v>
      </c>
      <c r="AS35" s="22" t="n">
        <v>0</v>
      </c>
      <c r="AT35" s="71" t="b">
        <f aca="false">FALSE()</f>
        <v>0</v>
      </c>
      <c r="AU35" s="71" t="b">
        <f aca="false">TRUE()</f>
        <v>1</v>
      </c>
    </row>
    <row r="36" customFormat="false" ht="14.25" hidden="false" customHeight="true" outlineLevel="0" collapsed="false">
      <c r="A36" s="22" t="s">
        <v>443</v>
      </c>
      <c r="B36" s="22" t="s">
        <v>444</v>
      </c>
      <c r="C36" s="22" t="n">
        <v>20180101</v>
      </c>
      <c r="D36" s="22" t="n">
        <v>2018</v>
      </c>
      <c r="E36" s="22" t="n">
        <v>52</v>
      </c>
      <c r="F36" s="22" t="n">
        <v>2018</v>
      </c>
      <c r="G36" s="22" t="n">
        <v>699</v>
      </c>
      <c r="H36" s="22" t="s">
        <v>445</v>
      </c>
      <c r="I36" s="22" t="s">
        <v>333</v>
      </c>
      <c r="J36" s="22" t="s">
        <v>446</v>
      </c>
      <c r="K36" s="22" t="s">
        <v>447</v>
      </c>
      <c r="L36" s="22" t="n">
        <v>826</v>
      </c>
      <c r="M36" s="22" t="s">
        <v>448</v>
      </c>
      <c r="N36" s="22" t="s">
        <v>449</v>
      </c>
      <c r="O36" s="22" t="n">
        <v>0</v>
      </c>
      <c r="P36" s="22" t="s">
        <v>450</v>
      </c>
      <c r="Q36" s="22" t="s">
        <v>451</v>
      </c>
      <c r="R36" s="22" t="s">
        <v>460</v>
      </c>
      <c r="S36" s="22" t="s">
        <v>453</v>
      </c>
      <c r="T36" s="71" t="b">
        <f aca="false">TRUE()</f>
        <v>1</v>
      </c>
      <c r="U36" s="73" t="n">
        <v>7304</v>
      </c>
      <c r="V36" s="22" t="s">
        <v>463</v>
      </c>
      <c r="W36" s="22" t="n">
        <v>4</v>
      </c>
      <c r="X36" s="71" t="b">
        <f aca="false">FALSE()</f>
        <v>0</v>
      </c>
      <c r="Y36" s="22" t="s">
        <v>455</v>
      </c>
      <c r="Z36" s="22" t="s">
        <v>456</v>
      </c>
      <c r="AA36" s="22" t="n">
        <v>0</v>
      </c>
      <c r="AB36" s="22" t="n">
        <v>0</v>
      </c>
      <c r="AC36" s="22" t="s">
        <v>457</v>
      </c>
      <c r="AD36" s="22" t="n">
        <v>8</v>
      </c>
      <c r="AE36" s="22" t="s">
        <v>458</v>
      </c>
      <c r="AF36" s="22" t="n">
        <v>3483816.614</v>
      </c>
      <c r="AG36" s="71" t="b">
        <f aca="false">TRUE()</f>
        <v>1</v>
      </c>
      <c r="AH36" s="22" t="n">
        <v>-1</v>
      </c>
      <c r="AI36" s="22" t="s">
        <v>459</v>
      </c>
      <c r="AJ36" s="22" t="n">
        <v>0</v>
      </c>
      <c r="AK36" s="71" t="b">
        <f aca="false">FALSE()</f>
        <v>0</v>
      </c>
      <c r="AL36" s="70" t="n">
        <v>3483816.614</v>
      </c>
      <c r="AM36" s="71" t="b">
        <f aca="false">TRUE()</f>
        <v>1</v>
      </c>
      <c r="AO36" s="71" t="b">
        <f aca="false">FALSE()</f>
        <v>0</v>
      </c>
      <c r="AP36" s="22" t="n">
        <v>5773000.162</v>
      </c>
      <c r="AR36" s="70" t="n">
        <v>5773000.162</v>
      </c>
      <c r="AS36" s="22" t="n">
        <v>0</v>
      </c>
      <c r="AT36" s="71" t="b">
        <f aca="false">FALSE()</f>
        <v>0</v>
      </c>
      <c r="AU36" s="71" t="b">
        <f aca="false">TRUE()</f>
        <v>1</v>
      </c>
    </row>
    <row r="37" customFormat="false" ht="14.25" hidden="false" customHeight="true" outlineLevel="0" collapsed="false">
      <c r="A37" s="22" t="s">
        <v>443</v>
      </c>
      <c r="B37" s="22" t="s">
        <v>444</v>
      </c>
      <c r="C37" s="22" t="n">
        <v>20190101</v>
      </c>
      <c r="D37" s="22" t="n">
        <v>2019</v>
      </c>
      <c r="E37" s="22" t="n">
        <v>52</v>
      </c>
      <c r="F37" s="22" t="n">
        <v>2019</v>
      </c>
      <c r="G37" s="22" t="n">
        <v>699</v>
      </c>
      <c r="H37" s="22" t="s">
        <v>445</v>
      </c>
      <c r="I37" s="22" t="s">
        <v>333</v>
      </c>
      <c r="J37" s="22" t="s">
        <v>446</v>
      </c>
      <c r="K37" s="22" t="s">
        <v>447</v>
      </c>
      <c r="L37" s="22" t="n">
        <v>826</v>
      </c>
      <c r="M37" s="22" t="s">
        <v>448</v>
      </c>
      <c r="N37" s="22" t="s">
        <v>449</v>
      </c>
      <c r="O37" s="22" t="n">
        <v>0</v>
      </c>
      <c r="P37" s="22" t="s">
        <v>450</v>
      </c>
      <c r="Q37" s="22" t="s">
        <v>451</v>
      </c>
      <c r="R37" s="22" t="s">
        <v>460</v>
      </c>
      <c r="S37" s="22" t="s">
        <v>453</v>
      </c>
      <c r="T37" s="71" t="b">
        <f aca="false">TRUE()</f>
        <v>1</v>
      </c>
      <c r="U37" s="73" t="n">
        <v>7304</v>
      </c>
      <c r="V37" s="22" t="s">
        <v>463</v>
      </c>
      <c r="W37" s="22" t="n">
        <v>4</v>
      </c>
      <c r="X37" s="71" t="b">
        <f aca="false">FALSE()</f>
        <v>0</v>
      </c>
      <c r="Y37" s="22" t="s">
        <v>455</v>
      </c>
      <c r="Z37" s="22" t="s">
        <v>456</v>
      </c>
      <c r="AA37" s="22" t="n">
        <v>0</v>
      </c>
      <c r="AB37" s="22" t="n">
        <v>0</v>
      </c>
      <c r="AC37" s="22" t="s">
        <v>457</v>
      </c>
      <c r="AD37" s="22" t="n">
        <v>8</v>
      </c>
      <c r="AE37" s="22" t="s">
        <v>458</v>
      </c>
      <c r="AF37" s="22" t="n">
        <v>4064244.649</v>
      </c>
      <c r="AG37" s="71" t="b">
        <f aca="false">TRUE()</f>
        <v>1</v>
      </c>
      <c r="AH37" s="22" t="n">
        <v>-1</v>
      </c>
      <c r="AI37" s="22" t="s">
        <v>459</v>
      </c>
      <c r="AJ37" s="22" t="n">
        <v>0</v>
      </c>
      <c r="AK37" s="71" t="b">
        <f aca="false">FALSE()</f>
        <v>0</v>
      </c>
      <c r="AL37" s="70" t="n">
        <v>4064244.649</v>
      </c>
      <c r="AM37" s="71" t="b">
        <f aca="false">TRUE()</f>
        <v>1</v>
      </c>
      <c r="AN37" s="22" t="n">
        <v>0</v>
      </c>
      <c r="AO37" s="71" t="b">
        <f aca="false">FALSE()</f>
        <v>0</v>
      </c>
      <c r="AP37" s="22" t="n">
        <v>7874776.743</v>
      </c>
      <c r="AQ37" s="22" t="n">
        <v>0</v>
      </c>
      <c r="AR37" s="70" t="n">
        <v>7874776.743</v>
      </c>
      <c r="AS37" s="22" t="n">
        <v>6</v>
      </c>
      <c r="AT37" s="71" t="b">
        <f aca="false">FALSE()</f>
        <v>0</v>
      </c>
      <c r="AU37" s="71" t="b">
        <f aca="false">TRUE()</f>
        <v>1</v>
      </c>
    </row>
    <row r="38" customFormat="false" ht="14.25" hidden="false" customHeight="true" outlineLevel="0" collapsed="false">
      <c r="A38" s="22" t="s">
        <v>443</v>
      </c>
      <c r="B38" s="22" t="s">
        <v>444</v>
      </c>
      <c r="C38" s="22" t="n">
        <v>20200101</v>
      </c>
      <c r="D38" s="22" t="n">
        <v>2020</v>
      </c>
      <c r="E38" s="22" t="n">
        <v>52</v>
      </c>
      <c r="F38" s="22" t="n">
        <v>2020</v>
      </c>
      <c r="G38" s="22" t="n">
        <v>699</v>
      </c>
      <c r="H38" s="22" t="s">
        <v>445</v>
      </c>
      <c r="I38" s="22" t="s">
        <v>333</v>
      </c>
      <c r="J38" s="22" t="s">
        <v>446</v>
      </c>
      <c r="K38" s="22" t="s">
        <v>447</v>
      </c>
      <c r="L38" s="22" t="n">
        <v>826</v>
      </c>
      <c r="M38" s="22" t="s">
        <v>448</v>
      </c>
      <c r="N38" s="22" t="s">
        <v>449</v>
      </c>
      <c r="O38" s="22" t="n">
        <v>0</v>
      </c>
      <c r="P38" s="22" t="s">
        <v>450</v>
      </c>
      <c r="Q38" s="22" t="s">
        <v>451</v>
      </c>
      <c r="R38" s="22" t="s">
        <v>460</v>
      </c>
      <c r="S38" s="22" t="s">
        <v>453</v>
      </c>
      <c r="T38" s="71" t="b">
        <f aca="false">TRUE()</f>
        <v>1</v>
      </c>
      <c r="U38" s="73" t="n">
        <v>7304</v>
      </c>
      <c r="V38" s="22" t="s">
        <v>463</v>
      </c>
      <c r="W38" s="22" t="n">
        <v>4</v>
      </c>
      <c r="X38" s="71" t="b">
        <f aca="false">FALSE()</f>
        <v>0</v>
      </c>
      <c r="Y38" s="22" t="s">
        <v>455</v>
      </c>
      <c r="Z38" s="22" t="s">
        <v>456</v>
      </c>
      <c r="AA38" s="22" t="n">
        <v>0</v>
      </c>
      <c r="AB38" s="22" t="n">
        <v>0</v>
      </c>
      <c r="AC38" s="22" t="s">
        <v>457</v>
      </c>
      <c r="AD38" s="22" t="n">
        <v>8</v>
      </c>
      <c r="AE38" s="22" t="s">
        <v>458</v>
      </c>
      <c r="AF38" s="22" t="n">
        <v>2370637</v>
      </c>
      <c r="AG38" s="71" t="b">
        <f aca="false">FALSE()</f>
        <v>0</v>
      </c>
      <c r="AH38" s="22" t="n">
        <v>8</v>
      </c>
      <c r="AI38" s="22" t="s">
        <v>458</v>
      </c>
      <c r="AJ38" s="22" t="n">
        <v>2370637</v>
      </c>
      <c r="AK38" s="71" t="b">
        <f aca="false">FALSE()</f>
        <v>0</v>
      </c>
      <c r="AL38" s="70" t="n">
        <v>2370637</v>
      </c>
      <c r="AM38" s="71" t="b">
        <f aca="false">FALSE()</f>
        <v>0</v>
      </c>
      <c r="AN38" s="22" t="n">
        <v>0</v>
      </c>
      <c r="AO38" s="71" t="b">
        <f aca="false">FALSE()</f>
        <v>0</v>
      </c>
      <c r="AP38" s="22" t="n">
        <v>2903628.529</v>
      </c>
      <c r="AQ38" s="22" t="n">
        <v>0</v>
      </c>
      <c r="AR38" s="70" t="n">
        <v>2903628.529</v>
      </c>
      <c r="AS38" s="22" t="n">
        <v>0</v>
      </c>
      <c r="AT38" s="71" t="b">
        <f aca="false">FALSE()</f>
        <v>0</v>
      </c>
      <c r="AU38" s="71" t="b">
        <f aca="false">TRUE()</f>
        <v>1</v>
      </c>
    </row>
    <row r="39" customFormat="false" ht="14.25" hidden="false" customHeight="true" outlineLevel="0" collapsed="false">
      <c r="A39" s="22" t="s">
        <v>443</v>
      </c>
      <c r="B39" s="22" t="s">
        <v>444</v>
      </c>
      <c r="C39" s="22" t="n">
        <v>20210101</v>
      </c>
      <c r="D39" s="22" t="n">
        <v>2021</v>
      </c>
      <c r="E39" s="22" t="n">
        <v>52</v>
      </c>
      <c r="F39" s="22" t="n">
        <v>2021</v>
      </c>
      <c r="G39" s="22" t="n">
        <v>699</v>
      </c>
      <c r="H39" s="22" t="s">
        <v>445</v>
      </c>
      <c r="I39" s="22" t="s">
        <v>333</v>
      </c>
      <c r="J39" s="22" t="s">
        <v>446</v>
      </c>
      <c r="K39" s="22" t="s">
        <v>447</v>
      </c>
      <c r="L39" s="22" t="n">
        <v>826</v>
      </c>
      <c r="M39" s="22" t="s">
        <v>448</v>
      </c>
      <c r="N39" s="22" t="s">
        <v>449</v>
      </c>
      <c r="O39" s="22" t="n">
        <v>0</v>
      </c>
      <c r="P39" s="22" t="s">
        <v>450</v>
      </c>
      <c r="Q39" s="22" t="s">
        <v>451</v>
      </c>
      <c r="R39" s="22" t="s">
        <v>460</v>
      </c>
      <c r="S39" s="22" t="s">
        <v>453</v>
      </c>
      <c r="T39" s="71" t="b">
        <f aca="false">TRUE()</f>
        <v>1</v>
      </c>
      <c r="U39" s="73" t="n">
        <v>7304</v>
      </c>
      <c r="V39" s="22" t="s">
        <v>463</v>
      </c>
      <c r="W39" s="22" t="n">
        <v>4</v>
      </c>
      <c r="X39" s="71" t="b">
        <f aca="false">FALSE()</f>
        <v>0</v>
      </c>
      <c r="Y39" s="22" t="s">
        <v>455</v>
      </c>
      <c r="Z39" s="22" t="s">
        <v>456</v>
      </c>
      <c r="AA39" s="22" t="n">
        <v>0</v>
      </c>
      <c r="AB39" s="22" t="n">
        <v>0</v>
      </c>
      <c r="AC39" s="22" t="s">
        <v>457</v>
      </c>
      <c r="AD39" s="22" t="n">
        <v>8</v>
      </c>
      <c r="AE39" s="22" t="s">
        <v>458</v>
      </c>
      <c r="AF39" s="22" t="n">
        <v>8190400</v>
      </c>
      <c r="AG39" s="71" t="b">
        <f aca="false">FALSE()</f>
        <v>0</v>
      </c>
      <c r="AH39" s="22" t="n">
        <v>8</v>
      </c>
      <c r="AI39" s="22" t="s">
        <v>458</v>
      </c>
      <c r="AJ39" s="22" t="n">
        <v>8190400</v>
      </c>
      <c r="AK39" s="71" t="b">
        <f aca="false">FALSE()</f>
        <v>0</v>
      </c>
      <c r="AL39" s="70" t="n">
        <v>8190400</v>
      </c>
      <c r="AM39" s="71" t="b">
        <f aca="false">FALSE()</f>
        <v>0</v>
      </c>
      <c r="AN39" s="22" t="n">
        <v>0</v>
      </c>
      <c r="AO39" s="71" t="b">
        <f aca="false">FALSE()</f>
        <v>0</v>
      </c>
      <c r="AP39" s="22" t="n">
        <v>76264848.155</v>
      </c>
      <c r="AQ39" s="22" t="n">
        <v>0</v>
      </c>
      <c r="AR39" s="70" t="n">
        <v>76264848.155</v>
      </c>
      <c r="AS39" s="22" t="n">
        <v>0</v>
      </c>
      <c r="AT39" s="71" t="b">
        <f aca="false">FALSE()</f>
        <v>0</v>
      </c>
      <c r="AU39" s="71" t="b">
        <f aca="false">TRUE()</f>
        <v>1</v>
      </c>
    </row>
    <row r="40" customFormat="false" ht="14.25" hidden="false" customHeight="true" outlineLevel="0" collapsed="false">
      <c r="A40" s="22" t="s">
        <v>443</v>
      </c>
      <c r="B40" s="22" t="s">
        <v>444</v>
      </c>
      <c r="C40" s="22" t="n">
        <v>20220101</v>
      </c>
      <c r="D40" s="22" t="n">
        <v>2022</v>
      </c>
      <c r="E40" s="22" t="n">
        <v>52</v>
      </c>
      <c r="F40" s="22" t="n">
        <v>2022</v>
      </c>
      <c r="G40" s="22" t="n">
        <v>699</v>
      </c>
      <c r="H40" s="22" t="s">
        <v>445</v>
      </c>
      <c r="I40" s="22" t="s">
        <v>333</v>
      </c>
      <c r="J40" s="22" t="s">
        <v>446</v>
      </c>
      <c r="K40" s="22" t="s">
        <v>447</v>
      </c>
      <c r="L40" s="22" t="n">
        <v>826</v>
      </c>
      <c r="M40" s="22" t="s">
        <v>448</v>
      </c>
      <c r="N40" s="22" t="s">
        <v>449</v>
      </c>
      <c r="O40" s="22" t="n">
        <v>0</v>
      </c>
      <c r="P40" s="22" t="s">
        <v>450</v>
      </c>
      <c r="Q40" s="22" t="s">
        <v>451</v>
      </c>
      <c r="R40" s="22" t="s">
        <v>461</v>
      </c>
      <c r="S40" s="22" t="s">
        <v>453</v>
      </c>
      <c r="T40" s="71" t="b">
        <f aca="false">TRUE()</f>
        <v>1</v>
      </c>
      <c r="U40" s="73" t="n">
        <v>7304</v>
      </c>
      <c r="V40" s="22" t="s">
        <v>463</v>
      </c>
      <c r="W40" s="22" t="n">
        <v>4</v>
      </c>
      <c r="X40" s="71" t="b">
        <f aca="false">FALSE()</f>
        <v>0</v>
      </c>
      <c r="Y40" s="22" t="s">
        <v>455</v>
      </c>
      <c r="Z40" s="22" t="s">
        <v>456</v>
      </c>
      <c r="AA40" s="22" t="n">
        <v>0</v>
      </c>
      <c r="AB40" s="22" t="n">
        <v>0</v>
      </c>
      <c r="AC40" s="22" t="s">
        <v>457</v>
      </c>
      <c r="AD40" s="22" t="n">
        <v>8</v>
      </c>
      <c r="AE40" s="22" t="s">
        <v>458</v>
      </c>
      <c r="AF40" s="22" t="n">
        <v>2814603.786</v>
      </c>
      <c r="AG40" s="71" t="b">
        <f aca="false">TRUE()</f>
        <v>1</v>
      </c>
      <c r="AH40" s="22" t="n">
        <v>-1</v>
      </c>
      <c r="AI40" s="22" t="s">
        <v>459</v>
      </c>
      <c r="AJ40" s="22" t="n">
        <v>0</v>
      </c>
      <c r="AK40" s="71" t="b">
        <f aca="false">FALSE()</f>
        <v>0</v>
      </c>
      <c r="AL40" s="70" t="n">
        <v>2814603.786</v>
      </c>
      <c r="AM40" s="71" t="b">
        <f aca="false">TRUE()</f>
        <v>1</v>
      </c>
      <c r="AN40" s="22" t="n">
        <v>0</v>
      </c>
      <c r="AO40" s="71" t="b">
        <f aca="false">FALSE()</f>
        <v>0</v>
      </c>
      <c r="AP40" s="22" t="n">
        <v>4153678.889</v>
      </c>
      <c r="AR40" s="70" t="n">
        <v>4153678.889</v>
      </c>
      <c r="AS40" s="22" t="n">
        <v>6</v>
      </c>
      <c r="AT40" s="71" t="b">
        <f aca="false">FALSE()</f>
        <v>0</v>
      </c>
      <c r="AU40" s="71" t="b">
        <f aca="false">TRUE()</f>
        <v>1</v>
      </c>
    </row>
    <row r="41" customFormat="false" ht="14.25" hidden="false" customHeight="true" outlineLevel="0" collapsed="false">
      <c r="A41" s="22" t="s">
        <v>443</v>
      </c>
      <c r="B41" s="22" t="s">
        <v>444</v>
      </c>
      <c r="C41" s="22" t="n">
        <v>20230101</v>
      </c>
      <c r="D41" s="22" t="n">
        <v>2023</v>
      </c>
      <c r="E41" s="22" t="n">
        <v>52</v>
      </c>
      <c r="F41" s="22" t="n">
        <v>2023</v>
      </c>
      <c r="G41" s="22" t="n">
        <v>699</v>
      </c>
      <c r="H41" s="22" t="s">
        <v>445</v>
      </c>
      <c r="I41" s="22" t="s">
        <v>333</v>
      </c>
      <c r="J41" s="22" t="s">
        <v>446</v>
      </c>
      <c r="K41" s="22" t="s">
        <v>447</v>
      </c>
      <c r="L41" s="22" t="n">
        <v>826</v>
      </c>
      <c r="M41" s="22" t="s">
        <v>448</v>
      </c>
      <c r="N41" s="22" t="s">
        <v>449</v>
      </c>
      <c r="O41" s="22" t="n">
        <v>0</v>
      </c>
      <c r="P41" s="22" t="s">
        <v>450</v>
      </c>
      <c r="Q41" s="22" t="s">
        <v>451</v>
      </c>
      <c r="R41" s="22" t="s">
        <v>461</v>
      </c>
      <c r="S41" s="22" t="s">
        <v>453</v>
      </c>
      <c r="T41" s="71" t="b">
        <f aca="false">TRUE()</f>
        <v>1</v>
      </c>
      <c r="U41" s="73" t="n">
        <v>7304</v>
      </c>
      <c r="V41" s="22" t="s">
        <v>463</v>
      </c>
      <c r="W41" s="22" t="n">
        <v>4</v>
      </c>
      <c r="X41" s="71" t="b">
        <f aca="false">FALSE()</f>
        <v>0</v>
      </c>
      <c r="Y41" s="22" t="s">
        <v>455</v>
      </c>
      <c r="Z41" s="22" t="s">
        <v>456</v>
      </c>
      <c r="AA41" s="22" t="n">
        <v>0</v>
      </c>
      <c r="AB41" s="22" t="n">
        <v>0</v>
      </c>
      <c r="AC41" s="22" t="s">
        <v>457</v>
      </c>
      <c r="AD41" s="22" t="n">
        <v>8</v>
      </c>
      <c r="AE41" s="22" t="s">
        <v>458</v>
      </c>
      <c r="AF41" s="22" t="n">
        <v>3201338.407</v>
      </c>
      <c r="AG41" s="71" t="b">
        <f aca="false">TRUE()</f>
        <v>1</v>
      </c>
      <c r="AH41" s="22" t="n">
        <v>-1</v>
      </c>
      <c r="AI41" s="22" t="s">
        <v>459</v>
      </c>
      <c r="AJ41" s="22" t="n">
        <v>0</v>
      </c>
      <c r="AK41" s="71" t="b">
        <f aca="false">FALSE()</f>
        <v>0</v>
      </c>
      <c r="AL41" s="70" t="n">
        <v>3201338.407</v>
      </c>
      <c r="AM41" s="71" t="b">
        <f aca="false">TRUE()</f>
        <v>1</v>
      </c>
      <c r="AN41" s="22" t="n">
        <v>0</v>
      </c>
      <c r="AO41" s="71" t="b">
        <f aca="false">FALSE()</f>
        <v>0</v>
      </c>
      <c r="AP41" s="22" t="n">
        <v>19227710.979</v>
      </c>
      <c r="AR41" s="70" t="n">
        <v>19227710.979</v>
      </c>
      <c r="AS41" s="22" t="n">
        <v>6</v>
      </c>
      <c r="AT41" s="71" t="b">
        <f aca="false">FALSE()</f>
        <v>0</v>
      </c>
      <c r="AU41" s="71" t="b">
        <f aca="false">TRUE()</f>
        <v>1</v>
      </c>
    </row>
    <row r="42" customFormat="false" ht="14.25" hidden="false" customHeight="true" outlineLevel="0" collapsed="false">
      <c r="A42" s="22" t="s">
        <v>443</v>
      </c>
      <c r="B42" s="22" t="s">
        <v>444</v>
      </c>
      <c r="C42" s="22" t="n">
        <v>20240101</v>
      </c>
      <c r="D42" s="22" t="n">
        <v>2024</v>
      </c>
      <c r="E42" s="22" t="n">
        <v>52</v>
      </c>
      <c r="F42" s="22" t="n">
        <v>2024</v>
      </c>
      <c r="G42" s="22" t="n">
        <v>699</v>
      </c>
      <c r="H42" s="22" t="s">
        <v>445</v>
      </c>
      <c r="I42" s="22" t="s">
        <v>333</v>
      </c>
      <c r="J42" s="22" t="s">
        <v>446</v>
      </c>
      <c r="K42" s="22" t="s">
        <v>447</v>
      </c>
      <c r="L42" s="22" t="n">
        <v>826</v>
      </c>
      <c r="M42" s="22" t="s">
        <v>448</v>
      </c>
      <c r="N42" s="22" t="s">
        <v>449</v>
      </c>
      <c r="O42" s="22" t="n">
        <v>0</v>
      </c>
      <c r="P42" s="22" t="s">
        <v>450</v>
      </c>
      <c r="Q42" s="22" t="s">
        <v>451</v>
      </c>
      <c r="R42" s="22" t="s">
        <v>461</v>
      </c>
      <c r="S42" s="22" t="s">
        <v>453</v>
      </c>
      <c r="T42" s="71" t="b">
        <f aca="false">TRUE()</f>
        <v>1</v>
      </c>
      <c r="U42" s="73" t="n">
        <v>7304</v>
      </c>
      <c r="V42" s="22" t="s">
        <v>463</v>
      </c>
      <c r="W42" s="22" t="n">
        <v>4</v>
      </c>
      <c r="X42" s="71" t="b">
        <f aca="false">FALSE()</f>
        <v>0</v>
      </c>
      <c r="Y42" s="22" t="s">
        <v>455</v>
      </c>
      <c r="Z42" s="22" t="s">
        <v>456</v>
      </c>
      <c r="AA42" s="22" t="n">
        <v>0</v>
      </c>
      <c r="AB42" s="22" t="n">
        <v>0</v>
      </c>
      <c r="AC42" s="22" t="s">
        <v>457</v>
      </c>
      <c r="AD42" s="22" t="n">
        <v>8</v>
      </c>
      <c r="AE42" s="22" t="s">
        <v>458</v>
      </c>
      <c r="AF42" s="22" t="n">
        <v>1546918.883</v>
      </c>
      <c r="AG42" s="71" t="b">
        <f aca="false">TRUE()</f>
        <v>1</v>
      </c>
      <c r="AH42" s="22" t="n">
        <v>-1</v>
      </c>
      <c r="AI42" s="22" t="s">
        <v>459</v>
      </c>
      <c r="AJ42" s="22" t="n">
        <v>0</v>
      </c>
      <c r="AK42" s="71" t="b">
        <f aca="false">FALSE()</f>
        <v>0</v>
      </c>
      <c r="AL42" s="70" t="n">
        <v>1546918.883</v>
      </c>
      <c r="AM42" s="71" t="b">
        <f aca="false">TRUE()</f>
        <v>1</v>
      </c>
      <c r="AN42" s="22" t="n">
        <v>0</v>
      </c>
      <c r="AO42" s="71" t="b">
        <f aca="false">FALSE()</f>
        <v>0</v>
      </c>
      <c r="AP42" s="22" t="n">
        <v>2693783.342</v>
      </c>
      <c r="AR42" s="70" t="n">
        <v>2693783.342</v>
      </c>
      <c r="AS42" s="22" t="n">
        <v>6</v>
      </c>
      <c r="AT42" s="71" t="b">
        <f aca="false">FALSE()</f>
        <v>0</v>
      </c>
      <c r="AU42" s="71" t="b">
        <f aca="false">TRUE()</f>
        <v>1</v>
      </c>
    </row>
    <row r="44" customFormat="false" ht="14.25" hidden="false" customHeight="true" outlineLevel="0" collapsed="false">
      <c r="A44" s="22" t="s">
        <v>464</v>
      </c>
    </row>
    <row r="57" customFormat="false" ht="14.25" hidden="false" customHeight="true" outlineLevel="0" collapsed="false">
      <c r="A57" s="22" t="s">
        <v>465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.77"/>
    <col collapsed="false" customWidth="true" hidden="false" outlineLevel="0" max="2" min="2" style="1" width="12.33"/>
  </cols>
  <sheetData>
    <row r="1" customFormat="false" ht="42" hidden="false" customHeight="true" outlineLevel="0" collapsed="false">
      <c r="A1" s="74" t="s">
        <v>466</v>
      </c>
      <c r="B1" s="74" t="n">
        <v>2025</v>
      </c>
      <c r="C1" s="74" t="n">
        <v>2030</v>
      </c>
      <c r="D1" s="74" t="n">
        <v>2035</v>
      </c>
      <c r="E1" s="74" t="n">
        <v>2040</v>
      </c>
      <c r="F1" s="74" t="n">
        <v>2045</v>
      </c>
      <c r="G1" s="75" t="n">
        <v>2050</v>
      </c>
    </row>
    <row r="2" customFormat="false" ht="15" hidden="false" customHeight="true" outlineLevel="0" collapsed="false">
      <c r="A2" s="74" t="s">
        <v>467</v>
      </c>
      <c r="B2" s="76" t="n">
        <v>0.9</v>
      </c>
      <c r="C2" s="76" t="n">
        <v>1.2</v>
      </c>
      <c r="D2" s="76" t="n">
        <v>1.4</v>
      </c>
      <c r="E2" s="76" t="n">
        <v>1.3</v>
      </c>
      <c r="F2" s="76" t="n">
        <v>1.4</v>
      </c>
      <c r="G2" s="77" t="n">
        <v>1.5</v>
      </c>
    </row>
    <row r="3" customFormat="false" ht="27.75" hidden="false" customHeight="true" outlineLevel="0" collapsed="false">
      <c r="A3" s="74" t="s">
        <v>468</v>
      </c>
      <c r="B3" s="76" t="n">
        <v>1.2</v>
      </c>
      <c r="C3" s="76" t="n">
        <v>2</v>
      </c>
      <c r="D3" s="76" t="n">
        <v>3.1</v>
      </c>
      <c r="E3" s="76" t="n">
        <v>2</v>
      </c>
      <c r="F3" s="76" t="n">
        <v>2.2</v>
      </c>
      <c r="G3" s="77" t="n">
        <v>2.4</v>
      </c>
    </row>
    <row r="4" customFormat="false" ht="27.75" hidden="false" customHeight="true" outlineLevel="0" collapsed="false">
      <c r="A4" s="74" t="s">
        <v>469</v>
      </c>
      <c r="B4" s="76" t="n">
        <v>0.6</v>
      </c>
      <c r="C4" s="76" t="n">
        <v>0.6</v>
      </c>
      <c r="D4" s="76" t="n">
        <v>0.7</v>
      </c>
      <c r="E4" s="76" t="n">
        <v>0.7</v>
      </c>
      <c r="F4" s="76" t="n">
        <v>0.7</v>
      </c>
      <c r="G4" s="77" t="n">
        <v>0.8</v>
      </c>
    </row>
    <row r="5" customFormat="false" ht="42" hidden="false" customHeight="true" outlineLevel="0" collapsed="false">
      <c r="A5" s="74" t="s">
        <v>470</v>
      </c>
      <c r="B5" s="76" t="n">
        <v>0.5</v>
      </c>
      <c r="C5" s="76" t="n">
        <v>0.5</v>
      </c>
      <c r="D5" s="76" t="n">
        <v>0.6</v>
      </c>
      <c r="E5" s="76" t="n">
        <v>0.5</v>
      </c>
      <c r="F5" s="76" t="n">
        <v>0.5</v>
      </c>
      <c r="G5" s="77" t="n">
        <v>0.6</v>
      </c>
    </row>
    <row r="6" customFormat="false" ht="15" hidden="false" customHeight="true" outlineLevel="0" collapsed="false">
      <c r="A6" s="74" t="s">
        <v>471</v>
      </c>
      <c r="B6" s="76" t="n">
        <v>0.7</v>
      </c>
      <c r="C6" s="76" t="n">
        <v>1.1</v>
      </c>
      <c r="D6" s="76" t="n">
        <v>0.8</v>
      </c>
      <c r="E6" s="76" t="n">
        <v>0.8</v>
      </c>
      <c r="F6" s="76" t="n">
        <v>0.9</v>
      </c>
      <c r="G6" s="77" t="n">
        <v>1</v>
      </c>
    </row>
    <row r="7" customFormat="false" ht="55.5" hidden="false" customHeight="true" outlineLevel="0" collapsed="false">
      <c r="A7" s="74" t="s">
        <v>472</v>
      </c>
      <c r="B7" s="76" t="n">
        <v>2.3</v>
      </c>
      <c r="C7" s="76" t="n">
        <v>2.5</v>
      </c>
      <c r="D7" s="76" t="n">
        <v>2.7</v>
      </c>
      <c r="E7" s="76" t="n">
        <v>2.8</v>
      </c>
      <c r="F7" s="76" t="n">
        <v>2.9</v>
      </c>
      <c r="G7" s="77" t="n">
        <v>3.1</v>
      </c>
    </row>
    <row r="8" customFormat="false" ht="35.25" hidden="false" customHeight="true" outlineLevel="0" collapsed="false">
      <c r="A8" s="74" t="s">
        <v>473</v>
      </c>
      <c r="B8" s="76" t="n">
        <v>1.9</v>
      </c>
      <c r="C8" s="76" t="n">
        <v>2.1</v>
      </c>
      <c r="D8" s="76" t="n">
        <v>2.6</v>
      </c>
      <c r="E8" s="76" t="n">
        <v>2.7</v>
      </c>
      <c r="F8" s="76" t="n">
        <v>2.8</v>
      </c>
      <c r="G8" s="77" t="n">
        <v>3</v>
      </c>
    </row>
    <row r="9" customFormat="false" ht="20.25" hidden="false" customHeight="true" outlineLevel="0" collapsed="false">
      <c r="A9" s="74" t="s">
        <v>474</v>
      </c>
      <c r="B9" s="76" t="n">
        <v>0</v>
      </c>
      <c r="C9" s="76" t="n">
        <v>0.1</v>
      </c>
      <c r="D9" s="76" t="n">
        <v>0.1</v>
      </c>
      <c r="E9" s="76" t="n">
        <v>0.1</v>
      </c>
      <c r="F9" s="76" t="n">
        <v>0.1</v>
      </c>
      <c r="G9" s="77" t="n">
        <v>0.1</v>
      </c>
    </row>
    <row r="10" customFormat="false" ht="42" hidden="false" customHeight="true" outlineLevel="0" collapsed="false">
      <c r="A10" s="74" t="s">
        <v>475</v>
      </c>
      <c r="B10" s="76" t="n">
        <v>0.6</v>
      </c>
      <c r="C10" s="76" t="n">
        <v>0.6</v>
      </c>
      <c r="D10" s="76" t="n">
        <v>0.7</v>
      </c>
      <c r="E10" s="76" t="n">
        <v>0.7</v>
      </c>
      <c r="F10" s="76" t="n">
        <v>0.7</v>
      </c>
      <c r="G10" s="77" t="n">
        <v>0.8</v>
      </c>
    </row>
    <row r="11" customFormat="false" ht="27.75" hidden="false" customHeight="true" outlineLevel="0" collapsed="false">
      <c r="A11" s="74" t="s">
        <v>476</v>
      </c>
      <c r="B11" s="76" t="n">
        <v>0.5</v>
      </c>
      <c r="C11" s="76" t="n">
        <v>0.5</v>
      </c>
      <c r="D11" s="76" t="n">
        <v>0.6</v>
      </c>
      <c r="E11" s="76" t="n">
        <v>0.6</v>
      </c>
      <c r="F11" s="76" t="n">
        <v>0.7</v>
      </c>
      <c r="G11" s="77" t="n">
        <v>0.7</v>
      </c>
    </row>
    <row r="12" customFormat="false" ht="15" hidden="false" customHeight="true" outlineLevel="0" collapsed="false">
      <c r="A12" s="74" t="s">
        <v>477</v>
      </c>
      <c r="B12" s="76" t="n">
        <v>9.1</v>
      </c>
      <c r="C12" s="76" t="n">
        <v>11.2</v>
      </c>
      <c r="D12" s="76" t="n">
        <v>13.1</v>
      </c>
      <c r="E12" s="76" t="n">
        <v>12.2</v>
      </c>
      <c r="F12" s="76" t="n">
        <v>13</v>
      </c>
      <c r="G12" s="77" t="n">
        <v>14</v>
      </c>
    </row>
    <row r="14" customFormat="false" ht="54.75" hidden="false" customHeight="true" outlineLevel="0" collapsed="false">
      <c r="A14" s="78" t="s">
        <v>478</v>
      </c>
    </row>
    <row r="15" customFormat="false" ht="14.25" hidden="false" customHeight="true" outlineLevel="0" collapsed="false">
      <c r="A15" s="1" t="s">
        <v>479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8:I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29" activeCellId="0" sqref="B2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.11"/>
    <col collapsed="false" customWidth="true" hidden="false" outlineLevel="0" max="3" min="3" style="1" width="17.77"/>
    <col collapsed="false" customWidth="true" hidden="false" outlineLevel="0" max="4" min="4" style="1" width="16.44"/>
    <col collapsed="false" customWidth="true" hidden="false" outlineLevel="0" max="5" min="5" style="1" width="16"/>
    <col collapsed="false" customWidth="true" hidden="false" outlineLevel="0" max="6" min="6" style="1" width="15.66"/>
    <col collapsed="false" customWidth="true" hidden="false" outlineLevel="0" max="7" min="7" style="1" width="16.56"/>
    <col collapsed="false" customWidth="true" hidden="false" outlineLevel="0" max="8" min="8" style="1" width="16.77"/>
  </cols>
  <sheetData>
    <row r="8" customFormat="false" ht="42" hidden="false" customHeight="true" outlineLevel="0" collapsed="false">
      <c r="B8" s="79" t="s">
        <v>480</v>
      </c>
      <c r="C8" s="79" t="s">
        <v>481</v>
      </c>
      <c r="D8" s="79" t="s">
        <v>482</v>
      </c>
      <c r="E8" s="79" t="s">
        <v>483</v>
      </c>
      <c r="F8" s="79" t="s">
        <v>484</v>
      </c>
      <c r="G8" s="79" t="s">
        <v>485</v>
      </c>
      <c r="H8" s="80" t="s">
        <v>486</v>
      </c>
    </row>
    <row r="9" customFormat="false" ht="15" hidden="false" customHeight="true" outlineLevel="0" collapsed="false">
      <c r="A9" s="81" t="s">
        <v>487</v>
      </c>
      <c r="B9" s="82" t="n">
        <v>20</v>
      </c>
      <c r="C9" s="83" t="n">
        <v>11870000</v>
      </c>
      <c r="D9" s="83" t="n">
        <v>10110000</v>
      </c>
      <c r="E9" s="83" t="n">
        <v>9380000</v>
      </c>
      <c r="F9" s="83" t="n">
        <v>10320000</v>
      </c>
      <c r="G9" s="83" t="n">
        <v>10280000</v>
      </c>
      <c r="H9" s="84" t="n">
        <v>8640000</v>
      </c>
    </row>
    <row r="11" customFormat="false" ht="33.75" hidden="false" customHeight="true" outlineLevel="0" collapsed="false">
      <c r="A11" s="1" t="s">
        <v>488</v>
      </c>
      <c r="I11" s="85" t="s">
        <v>489</v>
      </c>
    </row>
    <row r="12" customFormat="false" ht="14.25" hidden="false" customHeight="true" outlineLevel="0" collapsed="false">
      <c r="I12" s="86"/>
    </row>
    <row r="13" customFormat="false" ht="14.25" hidden="false" customHeight="true" outlineLevel="0" collapsed="false">
      <c r="A13" s="1" t="s">
        <v>490</v>
      </c>
    </row>
    <row r="15" customFormat="false" ht="14.25" hidden="false" customHeight="true" outlineLevel="0" collapsed="false">
      <c r="A15" s="1" t="s">
        <v>491</v>
      </c>
    </row>
    <row r="17" customFormat="false" ht="14.25" hidden="false" customHeight="true" outlineLevel="0" collapsed="false">
      <c r="A17" s="1" t="s">
        <v>492</v>
      </c>
      <c r="B17" s="22" t="n">
        <f aca="false">F9/C9</f>
        <v>0.869418702611626</v>
      </c>
    </row>
    <row r="18" customFormat="false" ht="14.25" hidden="false" customHeight="true" outlineLevel="0" collapsed="false">
      <c r="A18" s="1" t="s">
        <v>493</v>
      </c>
      <c r="B18" s="22" t="n">
        <f aca="false">G9/D9</f>
        <v>1.01681503461919</v>
      </c>
    </row>
    <row r="19" customFormat="false" ht="14.25" hidden="false" customHeight="true" outlineLevel="0" collapsed="false">
      <c r="A19" s="1" t="s">
        <v>494</v>
      </c>
      <c r="B19" s="22" t="n">
        <f aca="false">H9/E9</f>
        <v>0.921108742004264</v>
      </c>
    </row>
    <row r="21" customFormat="false" ht="14.25" hidden="false" customHeight="true" outlineLevel="0" collapsed="false">
      <c r="A21" s="1" t="s">
        <v>495</v>
      </c>
    </row>
    <row r="22" customFormat="false" ht="14.25" hidden="false" customHeight="true" outlineLevel="0" collapsed="false">
      <c r="A22" s="1" t="s">
        <v>496</v>
      </c>
      <c r="B22" s="87" t="n">
        <v>0.25</v>
      </c>
    </row>
    <row r="24" customFormat="false" ht="14.25" hidden="false" customHeight="true" outlineLevel="0" collapsed="false">
      <c r="A24" s="1" t="s">
        <v>497</v>
      </c>
      <c r="B24" s="22" t="n">
        <f aca="false">1-(B17*B22)</f>
        <v>0.782645324347094</v>
      </c>
    </row>
    <row r="25" customFormat="false" ht="14.25" hidden="false" customHeight="true" outlineLevel="0" collapsed="false">
      <c r="A25" s="1" t="s">
        <v>498</v>
      </c>
      <c r="B25" s="22" t="n">
        <f aca="false">1-(B18*B22)</f>
        <v>0.745796241345203</v>
      </c>
    </row>
    <row r="26" customFormat="false" ht="14.25" hidden="false" customHeight="true" outlineLevel="0" collapsed="false">
      <c r="A26" s="1" t="s">
        <v>499</v>
      </c>
      <c r="B26" s="22" t="n">
        <f aca="false">1-(B19*B22)</f>
        <v>0.769722814498934</v>
      </c>
    </row>
    <row r="27" customFormat="false" ht="14.25" hidden="false" customHeight="false" outlineLevel="0" collapsed="false">
      <c r="A27" s="88" t="s">
        <v>500</v>
      </c>
      <c r="B27" s="89" t="n">
        <f aca="false">(B24+B25+B26)/3</f>
        <v>0.766054793397077</v>
      </c>
    </row>
    <row r="28" customFormat="false" ht="14.25" hidden="false" customHeight="true" outlineLevel="0" collapsed="false">
      <c r="A28" s="1" t="s">
        <v>501</v>
      </c>
    </row>
  </sheetData>
  <hyperlinks>
    <hyperlink ref="I11" r:id="rId1" display="https://www.gov.uk/government/consultations/uk-emissions-trading-scheme-free-allocation-review-carbon-leakage/analytical-annex-free-allocation-for-carbon-border-adjustment-mechanism-cbam-sectors-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.78"/>
    <col collapsed="false" customWidth="true" hidden="false" outlineLevel="0" max="2" min="2" style="1" width="24.33"/>
  </cols>
  <sheetData>
    <row r="1" customFormat="false" ht="14.25" hidden="false" customHeight="true" outlineLevel="0" collapsed="false"/>
    <row r="2" customFormat="false" ht="27" hidden="false" customHeight="true" outlineLevel="0" collapsed="false">
      <c r="A2" s="90" t="s">
        <v>502</v>
      </c>
      <c r="B2" s="41" t="s">
        <v>503</v>
      </c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28.5" hidden="false" customHeight="true" outlineLevel="0" collapsed="false">
      <c r="A5" s="1" t="s">
        <v>394</v>
      </c>
      <c r="B5" s="85" t="s">
        <v>504</v>
      </c>
    </row>
    <row r="6" customFormat="false" ht="54.75" hidden="false" customHeight="true" outlineLevel="0" collapsed="false"/>
    <row r="9" customFormat="false" ht="75.75" hidden="false" customHeight="true" outlineLevel="0" collapsed="false"/>
  </sheetData>
  <hyperlinks>
    <hyperlink ref="B5" r:id="rId1" display="Tata Steel Integrated Report 2024–2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6" activeCellId="0" sqref="G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24.11"/>
    <col collapsed="false" customWidth="true" hidden="false" outlineLevel="0" max="4" min="4" style="1" width="29.78"/>
    <col collapsed="false" customWidth="true" hidden="false" outlineLevel="0" max="5" min="5" style="1" width="24.33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52"/>
  </cols>
  <sheetData>
    <row r="1" customFormat="false" ht="15.75" hidden="false" customHeight="true" outlineLevel="0" collapsed="false">
      <c r="A1" s="91" t="s">
        <v>505</v>
      </c>
      <c r="B1" s="91"/>
      <c r="C1" s="91"/>
      <c r="D1" s="91"/>
      <c r="E1" s="91"/>
      <c r="F1" s="91"/>
      <c r="G1" s="91"/>
      <c r="H1" s="91"/>
    </row>
    <row r="2" customFormat="false" ht="15" hidden="false" customHeight="true" outlineLevel="0" collapsed="false">
      <c r="A2" s="92" t="s">
        <v>506</v>
      </c>
      <c r="B2" s="92"/>
      <c r="C2" s="92"/>
      <c r="D2" s="92"/>
      <c r="E2" s="92"/>
      <c r="F2" s="92"/>
      <c r="G2" s="92"/>
      <c r="H2" s="92"/>
    </row>
    <row r="4" customFormat="false" ht="30" hidden="false" customHeight="true" outlineLevel="0" collapsed="false">
      <c r="A4" s="93" t="s">
        <v>507</v>
      </c>
      <c r="B4" s="93" t="s">
        <v>508</v>
      </c>
      <c r="C4" s="93" t="s">
        <v>509</v>
      </c>
      <c r="D4" s="93" t="s">
        <v>510</v>
      </c>
      <c r="E4" s="93" t="s">
        <v>511</v>
      </c>
      <c r="F4" s="93" t="s">
        <v>512</v>
      </c>
      <c r="G4" s="93" t="s">
        <v>513</v>
      </c>
      <c r="H4" s="93" t="s">
        <v>66</v>
      </c>
    </row>
    <row r="5" customFormat="false" ht="21.75" hidden="false" customHeight="true" outlineLevel="0" collapsed="false">
      <c r="A5" s="94" t="n">
        <v>1</v>
      </c>
      <c r="B5" s="95" t="s">
        <v>514</v>
      </c>
      <c r="C5" s="96" t="n">
        <v>0</v>
      </c>
      <c r="D5" s="96" t="n">
        <v>0</v>
      </c>
      <c r="E5" s="96" t="n">
        <v>0</v>
      </c>
      <c r="F5" s="97" t="n">
        <f aca="false">CBAM!M7*(CBAM!N7*1)</f>
        <v>238912.548516</v>
      </c>
      <c r="G5" s="97" t="n">
        <f aca="false">('basic parameter'!$C$3*CBAM!E7-CBAM!L7*1)*CBAM!N7*1+CBAM!S7-CBAM!T7*1</f>
        <v>-72219.7446875</v>
      </c>
      <c r="H5" s="98" t="s">
        <v>515</v>
      </c>
    </row>
    <row r="6" customFormat="false" ht="21.75" hidden="false" customHeight="true" outlineLevel="0" collapsed="false">
      <c r="A6" s="99" t="n">
        <v>2</v>
      </c>
      <c r="B6" s="100" t="s">
        <v>516</v>
      </c>
      <c r="C6" s="101" t="n">
        <v>50</v>
      </c>
      <c r="D6" s="101" t="n">
        <v>0</v>
      </c>
      <c r="E6" s="101" t="n">
        <v>0</v>
      </c>
      <c r="F6" s="102" t="n">
        <f aca="false">CBAM!M7*(CBAM!N7*1.5)</f>
        <v>358368.822774</v>
      </c>
      <c r="G6" s="102" t="n">
        <f aca="false">('basic parameter'!$C$3*CBAM!E7-CBAM!L7*1)*CBAM!N7*1.5+CBAM!S7-CBAM!T7*1</f>
        <v>-107704.61703125</v>
      </c>
      <c r="H6" s="103" t="s">
        <v>517</v>
      </c>
    </row>
    <row r="7" customFormat="false" ht="21.75" hidden="false" customHeight="true" outlineLevel="0" collapsed="false">
      <c r="A7" s="94" t="n">
        <v>3</v>
      </c>
      <c r="B7" s="95" t="s">
        <v>518</v>
      </c>
      <c r="C7" s="96" t="n">
        <v>-30</v>
      </c>
      <c r="D7" s="96" t="n">
        <v>0</v>
      </c>
      <c r="E7" s="96" t="n">
        <v>0</v>
      </c>
      <c r="F7" s="97" t="n">
        <f aca="false">CBAM!M7*(CBAM!N7*0.7)</f>
        <v>167238.7839612</v>
      </c>
      <c r="G7" s="97" t="n">
        <f aca="false">('basic parameter'!$C$3*CBAM!E7-CBAM!L7*1)*CBAM!N7*0.7+CBAM!S7-CBAM!T7*1</f>
        <v>-50928.82128125</v>
      </c>
      <c r="H7" s="98" t="s">
        <v>519</v>
      </c>
    </row>
    <row r="8" customFormat="false" ht="21.75" hidden="false" customHeight="true" outlineLevel="0" collapsed="false">
      <c r="A8" s="99" t="n">
        <v>4</v>
      </c>
      <c r="B8" s="100" t="s">
        <v>520</v>
      </c>
      <c r="C8" s="101" t="n">
        <v>0</v>
      </c>
      <c r="D8" s="101" t="n">
        <v>-20</v>
      </c>
      <c r="E8" s="101" t="n">
        <v>0</v>
      </c>
      <c r="F8" s="102" t="n">
        <f aca="false">CBAM!M7*(CBAM!N7*1)</f>
        <v>238912.548516</v>
      </c>
      <c r="G8" s="102" t="n">
        <f aca="false">('basic parameter'!$C$3*CBAM!E7-CBAM!L7*0.8)*CBAM!N7*1+CBAM!S7-CBAM!T7*1</f>
        <v>-23960.3183</v>
      </c>
      <c r="H8" s="103" t="s">
        <v>521</v>
      </c>
    </row>
    <row r="9" customFormat="false" ht="21.75" hidden="false" customHeight="true" outlineLevel="0" collapsed="false">
      <c r="A9" s="94" t="n">
        <v>5</v>
      </c>
      <c r="B9" s="95" t="s">
        <v>522</v>
      </c>
      <c r="C9" s="96" t="n">
        <v>0</v>
      </c>
      <c r="D9" s="96" t="n">
        <v>0</v>
      </c>
      <c r="E9" s="96" t="n">
        <v>20</v>
      </c>
      <c r="F9" s="97" t="n">
        <f aca="false">CBAM!M7*(CBAM!N7*1)</f>
        <v>238912.548516</v>
      </c>
      <c r="G9" s="97" t="n">
        <f aca="false">('basic parameter'!$C$3*CBAM!E7-CBAM!L7*1)*CBAM!N7*1+CBAM!S7-CBAM!T7*1.2</f>
        <v>-73469.7446875</v>
      </c>
      <c r="H9" s="98" t="s">
        <v>523</v>
      </c>
    </row>
    <row r="11" customFormat="false" ht="15" hidden="false" customHeight="true" outlineLevel="0" collapsed="false">
      <c r="A11" s="104" t="s">
        <v>524</v>
      </c>
      <c r="B11" s="104"/>
      <c r="C11" s="104"/>
      <c r="D11" s="104"/>
      <c r="E11" s="104"/>
      <c r="F11" s="104"/>
      <c r="G11" s="104"/>
      <c r="H11" s="104"/>
    </row>
    <row r="12" customFormat="false" ht="27.75" hidden="false" customHeight="true" outlineLevel="0" collapsed="false">
      <c r="A12" s="105" t="s">
        <v>525</v>
      </c>
      <c r="B12" s="92" t="s">
        <v>526</v>
      </c>
      <c r="C12" s="92"/>
      <c r="D12" s="92"/>
      <c r="E12" s="92"/>
      <c r="F12" s="92"/>
      <c r="G12" s="92"/>
      <c r="H12" s="92"/>
    </row>
    <row r="13" customFormat="false" ht="27.75" hidden="false" customHeight="true" outlineLevel="0" collapsed="false">
      <c r="A13" s="105" t="s">
        <v>527</v>
      </c>
      <c r="B13" s="92" t="s">
        <v>528</v>
      </c>
      <c r="C13" s="92"/>
      <c r="D13" s="92"/>
      <c r="E13" s="92"/>
      <c r="F13" s="92"/>
      <c r="G13" s="92"/>
      <c r="H13" s="92"/>
    </row>
    <row r="14" customFormat="false" ht="27.75" hidden="false" customHeight="true" outlineLevel="0" collapsed="false">
      <c r="A14" s="105" t="s">
        <v>529</v>
      </c>
      <c r="B14" s="92" t="s">
        <v>530</v>
      </c>
      <c r="C14" s="92"/>
      <c r="D14" s="92"/>
      <c r="E14" s="92"/>
      <c r="F14" s="92"/>
      <c r="G14" s="92"/>
      <c r="H14" s="92"/>
    </row>
    <row r="15" customFormat="false" ht="27.75" hidden="false" customHeight="true" outlineLevel="0" collapsed="false">
      <c r="A15" s="105" t="s">
        <v>531</v>
      </c>
      <c r="B15" s="92" t="s">
        <v>532</v>
      </c>
      <c r="C15" s="92"/>
      <c r="D15" s="92"/>
      <c r="E15" s="92"/>
      <c r="F15" s="92"/>
      <c r="G15" s="92"/>
      <c r="H15" s="92"/>
    </row>
    <row r="16" customFormat="false" ht="27.75" hidden="false" customHeight="true" outlineLevel="0" collapsed="false">
      <c r="A16" s="105" t="s">
        <v>533</v>
      </c>
      <c r="B16" s="92" t="s">
        <v>534</v>
      </c>
      <c r="C16" s="92"/>
      <c r="D16" s="92"/>
      <c r="E16" s="92"/>
      <c r="F16" s="92"/>
      <c r="G16" s="92"/>
      <c r="H16" s="92"/>
    </row>
  </sheetData>
  <mergeCells count="8">
    <mergeCell ref="A1:H1"/>
    <mergeCell ref="A2:H2"/>
    <mergeCell ref="A11:H11"/>
    <mergeCell ref="B12:H12"/>
    <mergeCell ref="B13:H13"/>
    <mergeCell ref="B14:H14"/>
    <mergeCell ref="B15:H15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33.78"/>
    <col collapsed="false" customWidth="true" hidden="false" outlineLevel="0" max="5" min="5" style="1" width="30.56"/>
    <col collapsed="false" customWidth="true" hidden="false" outlineLevel="0" max="6" min="6" style="1" width="34.11"/>
    <col collapsed="false" customWidth="true" hidden="false" outlineLevel="0" max="9" min="9" style="1" width="29.78"/>
    <col collapsed="false" customWidth="true" hidden="false" outlineLevel="0" max="10" min="10" style="1" width="21.22"/>
    <col collapsed="false" customWidth="true" hidden="false" outlineLevel="0" max="13" min="13" style="1" width="30.88"/>
    <col collapsed="false" customWidth="true" hidden="false" outlineLevel="0" max="14" min="14" style="1" width="23.67"/>
    <col collapsed="false" customWidth="true" hidden="false" outlineLevel="0" max="17" min="17" style="1" width="30.67"/>
    <col collapsed="false" customWidth="true" hidden="false" outlineLevel="0" max="18" min="18" style="1" width="20.88"/>
  </cols>
  <sheetData>
    <row r="1" s="106" customFormat="true" ht="35.25" hidden="false" customHeight="true" outlineLevel="0" collapsed="false">
      <c r="A1" s="106" t="s">
        <v>514</v>
      </c>
      <c r="D1" s="107"/>
      <c r="E1" s="106" t="s">
        <v>535</v>
      </c>
      <c r="H1" s="107"/>
      <c r="I1" s="108" t="s">
        <v>536</v>
      </c>
      <c r="L1" s="107"/>
      <c r="M1" s="106" t="s">
        <v>537</v>
      </c>
      <c r="P1" s="109"/>
      <c r="Q1" s="110" t="s">
        <v>522</v>
      </c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</row>
    <row r="2" s="112" customFormat="true" ht="21" hidden="false" customHeight="true" outlineLevel="0" collapsed="false">
      <c r="A2" s="111" t="s">
        <v>508</v>
      </c>
      <c r="B2" s="111" t="s">
        <v>538</v>
      </c>
      <c r="C2" s="111" t="s">
        <v>539</v>
      </c>
      <c r="E2" s="111" t="s">
        <v>508</v>
      </c>
      <c r="F2" s="111" t="s">
        <v>538</v>
      </c>
      <c r="G2" s="111" t="s">
        <v>539</v>
      </c>
      <c r="I2" s="111" t="s">
        <v>508</v>
      </c>
      <c r="J2" s="111" t="s">
        <v>538</v>
      </c>
      <c r="K2" s="111" t="s">
        <v>539</v>
      </c>
      <c r="M2" s="111" t="s">
        <v>508</v>
      </c>
      <c r="N2" s="111" t="s">
        <v>538</v>
      </c>
      <c r="O2" s="111" t="s">
        <v>539</v>
      </c>
      <c r="Q2" s="111" t="s">
        <v>508</v>
      </c>
      <c r="R2" s="111" t="s">
        <v>538</v>
      </c>
      <c r="S2" s="111" t="s">
        <v>539</v>
      </c>
    </row>
    <row r="3" s="115" customFormat="true" ht="14.25" hidden="false" customHeight="false" outlineLevel="0" collapsed="false">
      <c r="A3" s="113" t="s">
        <v>540</v>
      </c>
      <c r="B3" s="113" t="s">
        <v>541</v>
      </c>
      <c r="C3" s="114" t="n">
        <f aca="false">C4-C5</f>
        <v>241297.1319375</v>
      </c>
      <c r="D3" s="22"/>
      <c r="E3" s="113" t="s">
        <v>540</v>
      </c>
      <c r="F3" s="113" t="s">
        <v>541</v>
      </c>
      <c r="G3" s="114" t="n">
        <f aca="false">G4-G5</f>
        <v>241297.1319375</v>
      </c>
      <c r="H3" s="22"/>
      <c r="I3" s="113" t="s">
        <v>540</v>
      </c>
      <c r="J3" s="113" t="s">
        <v>541</v>
      </c>
      <c r="K3" s="114" t="n">
        <f aca="false">K4-K5</f>
        <v>241297.1319375</v>
      </c>
      <c r="L3" s="22"/>
      <c r="M3" s="113" t="s">
        <v>540</v>
      </c>
      <c r="N3" s="113" t="s">
        <v>541</v>
      </c>
      <c r="O3" s="114" t="n">
        <f aca="false">O4-O5</f>
        <v>193037.70555</v>
      </c>
      <c r="P3" s="22"/>
      <c r="Q3" s="113" t="s">
        <v>540</v>
      </c>
      <c r="R3" s="113" t="s">
        <v>541</v>
      </c>
      <c r="S3" s="114" t="n">
        <f aca="false">S4-S5</f>
        <v>229941.9727875</v>
      </c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 customFormat="false" ht="14.25" hidden="false" customHeight="false" outlineLevel="0" collapsed="false">
      <c r="A4" s="116" t="s">
        <v>542</v>
      </c>
      <c r="B4" s="116" t="s">
        <v>543</v>
      </c>
      <c r="C4" s="117" t="n">
        <f aca="false">C7*C8</f>
        <v>241297.1319375</v>
      </c>
      <c r="E4" s="116" t="s">
        <v>542</v>
      </c>
      <c r="F4" s="116" t="s">
        <v>543</v>
      </c>
      <c r="G4" s="117" t="n">
        <f aca="false">G7*G8</f>
        <v>241297.1319375</v>
      </c>
      <c r="I4" s="116" t="s">
        <v>542</v>
      </c>
      <c r="J4" s="116" t="s">
        <v>543</v>
      </c>
      <c r="K4" s="117" t="n">
        <f aca="false">K7*K8</f>
        <v>241297.1319375</v>
      </c>
      <c r="M4" s="116" t="s">
        <v>542</v>
      </c>
      <c r="N4" s="116" t="s">
        <v>543</v>
      </c>
      <c r="O4" s="117" t="n">
        <f aca="false">O7*O8</f>
        <v>193037.70555</v>
      </c>
      <c r="Q4" s="116" t="s">
        <v>542</v>
      </c>
      <c r="R4" s="116" t="s">
        <v>543</v>
      </c>
      <c r="S4" s="117" t="n">
        <f aca="false">S7*S8</f>
        <v>229941.9727875</v>
      </c>
    </row>
    <row r="5" customFormat="false" ht="14.25" hidden="false" customHeight="false" outlineLevel="0" collapsed="false">
      <c r="A5" s="116" t="s">
        <v>544</v>
      </c>
      <c r="B5" s="116" t="s">
        <v>545</v>
      </c>
      <c r="C5" s="117" t="n">
        <f aca="false">C16*C17</f>
        <v>0</v>
      </c>
      <c r="E5" s="116" t="s">
        <v>544</v>
      </c>
      <c r="F5" s="116" t="s">
        <v>545</v>
      </c>
      <c r="G5" s="117" t="n">
        <f aca="false">G16*G17</f>
        <v>0</v>
      </c>
      <c r="I5" s="116" t="s">
        <v>544</v>
      </c>
      <c r="J5" s="116" t="s">
        <v>545</v>
      </c>
      <c r="K5" s="117" t="n">
        <f aca="false">K16*K17</f>
        <v>0</v>
      </c>
      <c r="M5" s="116" t="s">
        <v>544</v>
      </c>
      <c r="N5" s="116" t="s">
        <v>545</v>
      </c>
      <c r="O5" s="117" t="n">
        <f aca="false">O16*O17</f>
        <v>0</v>
      </c>
      <c r="Q5" s="116" t="s">
        <v>544</v>
      </c>
      <c r="R5" s="116" t="s">
        <v>545</v>
      </c>
      <c r="S5" s="117" t="n">
        <f aca="false">S16*S17</f>
        <v>0</v>
      </c>
    </row>
    <row r="6" customFormat="false" ht="14.25" hidden="false" customHeight="false" outlineLevel="0" collapsed="false">
      <c r="A6" s="117"/>
      <c r="B6" s="117"/>
      <c r="C6" s="117"/>
      <c r="E6" s="117"/>
      <c r="F6" s="117"/>
      <c r="G6" s="117"/>
      <c r="I6" s="117"/>
      <c r="J6" s="117"/>
      <c r="K6" s="117"/>
      <c r="M6" s="117"/>
      <c r="N6" s="117"/>
      <c r="O6" s="116" t="s">
        <v>546</v>
      </c>
      <c r="Q6" s="117"/>
      <c r="R6" s="117"/>
      <c r="S6" s="117"/>
    </row>
    <row r="7" customFormat="false" ht="14.25" hidden="false" customHeight="false" outlineLevel="0" collapsed="false">
      <c r="A7" s="116" t="s">
        <v>547</v>
      </c>
      <c r="B7" s="116" t="s">
        <v>548</v>
      </c>
      <c r="C7" s="117" t="n">
        <f aca="false">C10*C11</f>
        <v>6375</v>
      </c>
      <c r="E7" s="116" t="s">
        <v>547</v>
      </c>
      <c r="F7" s="116" t="s">
        <v>548</v>
      </c>
      <c r="G7" s="117" t="n">
        <f aca="false">G10*G11</f>
        <v>6375</v>
      </c>
      <c r="I7" s="116" t="s">
        <v>547</v>
      </c>
      <c r="J7" s="116" t="s">
        <v>548</v>
      </c>
      <c r="K7" s="117" t="n">
        <f aca="false">K10*K11</f>
        <v>6375</v>
      </c>
      <c r="M7" s="116" t="s">
        <v>547</v>
      </c>
      <c r="N7" s="116" t="s">
        <v>548</v>
      </c>
      <c r="O7" s="117" t="n">
        <f aca="false">O10*O11</f>
        <v>5100</v>
      </c>
      <c r="Q7" s="116" t="s">
        <v>547</v>
      </c>
      <c r="R7" s="116" t="s">
        <v>548</v>
      </c>
      <c r="S7" s="117" t="n">
        <f aca="false">S10*S11</f>
        <v>6075</v>
      </c>
    </row>
    <row r="8" customFormat="false" ht="17.15" hidden="false" customHeight="false" outlineLevel="0" collapsed="false">
      <c r="A8" s="116" t="s">
        <v>549</v>
      </c>
      <c r="B8" s="116" t="s">
        <v>550</v>
      </c>
      <c r="C8" s="117" t="n">
        <f aca="false">C13*C14</f>
        <v>37.8505305</v>
      </c>
      <c r="E8" s="116" t="s">
        <v>549</v>
      </c>
      <c r="F8" s="116" t="s">
        <v>550</v>
      </c>
      <c r="G8" s="117" t="n">
        <f aca="false">G13*G14</f>
        <v>37.8505305</v>
      </c>
      <c r="I8" s="116" t="s">
        <v>549</v>
      </c>
      <c r="J8" s="116" t="s">
        <v>550</v>
      </c>
      <c r="K8" s="117" t="n">
        <f aca="false">K13*K14</f>
        <v>37.8505305</v>
      </c>
      <c r="M8" s="116" t="s">
        <v>549</v>
      </c>
      <c r="N8" s="116" t="s">
        <v>550</v>
      </c>
      <c r="O8" s="117" t="n">
        <f aca="false">O13*O14</f>
        <v>37.8505305</v>
      </c>
      <c r="Q8" s="116" t="s">
        <v>549</v>
      </c>
      <c r="R8" s="116" t="s">
        <v>550</v>
      </c>
      <c r="S8" s="117" t="n">
        <f aca="false">S13*S14</f>
        <v>37.8505305</v>
      </c>
    </row>
    <row r="9" customFormat="false" ht="14.25" hidden="false" customHeight="false" outlineLevel="0" collapsed="false">
      <c r="A9" s="117"/>
      <c r="B9" s="117"/>
      <c r="C9" s="117"/>
      <c r="E9" s="117"/>
      <c r="F9" s="117"/>
      <c r="G9" s="117"/>
      <c r="I9" s="117"/>
      <c r="J9" s="117"/>
      <c r="K9" s="117"/>
      <c r="M9" s="117"/>
      <c r="N9" s="117"/>
      <c r="O9" s="116" t="s">
        <v>551</v>
      </c>
      <c r="Q9" s="117"/>
      <c r="R9" s="117"/>
      <c r="S9" s="117"/>
    </row>
    <row r="10" customFormat="false" ht="14.25" hidden="false" customHeight="false" outlineLevel="0" collapsed="false">
      <c r="A10" s="116" t="s">
        <v>552</v>
      </c>
      <c r="B10" s="117"/>
      <c r="C10" s="117" t="n">
        <v>2.55</v>
      </c>
      <c r="E10" s="116" t="s">
        <v>552</v>
      </c>
      <c r="F10" s="117"/>
      <c r="G10" s="117" t="n">
        <v>2.55</v>
      </c>
      <c r="I10" s="116" t="s">
        <v>552</v>
      </c>
      <c r="J10" s="117"/>
      <c r="K10" s="117" t="n">
        <v>2.55</v>
      </c>
      <c r="M10" s="116" t="s">
        <v>552</v>
      </c>
      <c r="N10" s="117"/>
      <c r="O10" s="117" t="n">
        <f aca="false">2.55*0.8</f>
        <v>2.04</v>
      </c>
      <c r="Q10" s="116" t="s">
        <v>552</v>
      </c>
      <c r="R10" s="117"/>
      <c r="S10" s="117" t="n">
        <v>2.43</v>
      </c>
    </row>
    <row r="11" customFormat="false" ht="14.25" hidden="false" customHeight="false" outlineLevel="0" collapsed="false">
      <c r="A11" s="116" t="s">
        <v>553</v>
      </c>
      <c r="B11" s="117"/>
      <c r="C11" s="117" t="n">
        <v>2500</v>
      </c>
      <c r="E11" s="116" t="s">
        <v>553</v>
      </c>
      <c r="F11" s="117"/>
      <c r="G11" s="117" t="n">
        <v>2500</v>
      </c>
      <c r="I11" s="116" t="s">
        <v>553</v>
      </c>
      <c r="J11" s="117"/>
      <c r="K11" s="117" t="n">
        <v>2500</v>
      </c>
      <c r="M11" s="116" t="s">
        <v>553</v>
      </c>
      <c r="N11" s="117"/>
      <c r="O11" s="117" t="n">
        <v>2500</v>
      </c>
      <c r="Q11" s="116" t="s">
        <v>553</v>
      </c>
      <c r="R11" s="117"/>
      <c r="S11" s="117" t="n">
        <v>2500</v>
      </c>
    </row>
    <row r="12" customFormat="false" ht="14.25" hidden="false" customHeight="false" outlineLevel="0" collapsed="false">
      <c r="A12" s="117"/>
      <c r="B12" s="117"/>
      <c r="C12" s="117"/>
      <c r="E12" s="117"/>
      <c r="F12" s="117"/>
      <c r="G12" s="117"/>
      <c r="I12" s="117"/>
      <c r="J12" s="117"/>
      <c r="K12" s="117"/>
      <c r="M12" s="117"/>
      <c r="N12" s="117"/>
      <c r="O12" s="117"/>
      <c r="Q12" s="117"/>
      <c r="R12" s="117"/>
      <c r="S12" s="117"/>
    </row>
    <row r="13" customFormat="false" ht="14.25" hidden="false" customHeight="false" outlineLevel="0" collapsed="false">
      <c r="A13" s="116" t="s">
        <v>554</v>
      </c>
      <c r="B13" s="117"/>
      <c r="C13" s="116" t="n">
        <v>49.41</v>
      </c>
      <c r="E13" s="116" t="s">
        <v>554</v>
      </c>
      <c r="F13" s="117"/>
      <c r="G13" s="116" t="n">
        <v>49.41</v>
      </c>
      <c r="I13" s="116" t="s">
        <v>554</v>
      </c>
      <c r="J13" s="117"/>
      <c r="K13" s="116" t="n">
        <v>49.41</v>
      </c>
      <c r="M13" s="116" t="s">
        <v>554</v>
      </c>
      <c r="N13" s="117"/>
      <c r="O13" s="116" t="n">
        <v>49.41</v>
      </c>
      <c r="Q13" s="116" t="s">
        <v>554</v>
      </c>
      <c r="R13" s="117"/>
      <c r="S13" s="116" t="n">
        <v>49.41</v>
      </c>
    </row>
    <row r="14" s="89" customFormat="true" ht="14.25" hidden="false" customHeight="false" outlineLevel="0" collapsed="false">
      <c r="A14" s="118" t="s">
        <v>555</v>
      </c>
      <c r="B14" s="118"/>
      <c r="C14" s="118" t="n">
        <v>0.76605</v>
      </c>
      <c r="E14" s="118" t="s">
        <v>555</v>
      </c>
      <c r="F14" s="118"/>
      <c r="G14" s="118" t="n">
        <v>0.76605</v>
      </c>
      <c r="I14" s="118" t="s">
        <v>555</v>
      </c>
      <c r="J14" s="118"/>
      <c r="K14" s="118" t="n">
        <v>0.76605</v>
      </c>
      <c r="M14" s="118" t="s">
        <v>555</v>
      </c>
      <c r="N14" s="118"/>
      <c r="O14" s="118" t="n">
        <v>0.76605</v>
      </c>
      <c r="Q14" s="118" t="s">
        <v>555</v>
      </c>
      <c r="R14" s="118"/>
      <c r="S14" s="118" t="n">
        <v>0.76605</v>
      </c>
    </row>
    <row r="15" customFormat="false" ht="14.25" hidden="false" customHeight="false" outlineLevel="0" collapsed="false">
      <c r="A15" s="117"/>
      <c r="B15" s="117"/>
      <c r="C15" s="117"/>
      <c r="E15" s="117"/>
      <c r="F15" s="117"/>
      <c r="G15" s="117"/>
      <c r="I15" s="117"/>
      <c r="J15" s="117"/>
      <c r="K15" s="117"/>
      <c r="M15" s="117"/>
      <c r="N15" s="117"/>
      <c r="O15" s="117"/>
      <c r="Q15" s="117"/>
      <c r="R15" s="117"/>
      <c r="S15" s="117"/>
    </row>
    <row r="16" customFormat="false" ht="17.15" hidden="false" customHeight="false" outlineLevel="0" collapsed="false">
      <c r="A16" s="116" t="s">
        <v>556</v>
      </c>
      <c r="B16" s="117"/>
      <c r="C16" s="119" t="n">
        <v>0</v>
      </c>
      <c r="E16" s="116" t="s">
        <v>556</v>
      </c>
      <c r="F16" s="117"/>
      <c r="G16" s="119" t="n">
        <v>0</v>
      </c>
      <c r="I16" s="116" t="s">
        <v>556</v>
      </c>
      <c r="J16" s="117"/>
      <c r="K16" s="119" t="n">
        <v>0</v>
      </c>
      <c r="M16" s="116" t="s">
        <v>556</v>
      </c>
      <c r="N16" s="117"/>
      <c r="O16" s="119" t="n">
        <v>0</v>
      </c>
      <c r="Q16" s="116" t="s">
        <v>556</v>
      </c>
      <c r="R16" s="117"/>
      <c r="S16" s="119" t="n">
        <v>0</v>
      </c>
    </row>
    <row r="17" customFormat="false" ht="14.25" hidden="false" customHeight="false" outlineLevel="0" collapsed="false">
      <c r="A17" s="116" t="s">
        <v>557</v>
      </c>
      <c r="B17" s="117"/>
      <c r="C17" s="117" t="n">
        <f aca="false">C10*C11</f>
        <v>6375</v>
      </c>
      <c r="E17" s="116" t="s">
        <v>557</v>
      </c>
      <c r="F17" s="117"/>
      <c r="G17" s="117" t="n">
        <f aca="false">G10*G11</f>
        <v>6375</v>
      </c>
      <c r="I17" s="116" t="s">
        <v>557</v>
      </c>
      <c r="J17" s="117"/>
      <c r="K17" s="117" t="n">
        <f aca="false">K10*K11</f>
        <v>6375</v>
      </c>
      <c r="M17" s="116" t="s">
        <v>557</v>
      </c>
      <c r="N17" s="117"/>
      <c r="O17" s="117" t="n">
        <f aca="false">O10*O11</f>
        <v>5100</v>
      </c>
      <c r="Q17" s="116" t="s">
        <v>557</v>
      </c>
      <c r="R17" s="117"/>
      <c r="S17" s="117" t="n">
        <f aca="false">S10*S11</f>
        <v>6075</v>
      </c>
    </row>
    <row r="18" customFormat="false" ht="14.25" hidden="false" customHeight="false" outlineLevel="0" collapsed="false">
      <c r="A18" s="117"/>
      <c r="B18" s="117"/>
      <c r="C18" s="117"/>
      <c r="E18" s="117"/>
      <c r="F18" s="117"/>
      <c r="G18" s="117"/>
      <c r="I18" s="117"/>
      <c r="J18" s="117"/>
      <c r="K18" s="117"/>
      <c r="M18" s="117"/>
      <c r="N18" s="117"/>
      <c r="O18" s="117"/>
      <c r="Q18" s="117"/>
      <c r="R18" s="117"/>
      <c r="S18" s="117"/>
    </row>
    <row r="19" customFormat="false" ht="14.25" hidden="false" customHeight="false" outlineLevel="0" collapsed="false">
      <c r="A19" s="113" t="s">
        <v>513</v>
      </c>
      <c r="B19" s="114"/>
      <c r="C19" s="114" t="n">
        <f aca="false">('basic parameter'!$C$3*CBAM!E7-CBAM!L7*1)*CBAM!N7*1+CBAM!S7-CBAM!T7*1</f>
        <v>-72219.7446875</v>
      </c>
      <c r="E19" s="114" t="s">
        <v>513</v>
      </c>
      <c r="F19" s="114"/>
      <c r="G19" s="113" t="n">
        <v>-21261.05</v>
      </c>
      <c r="I19" s="114" t="s">
        <v>513</v>
      </c>
      <c r="J19" s="114"/>
      <c r="K19" s="114" t="n">
        <v>-10588.49</v>
      </c>
      <c r="M19" s="114" t="s">
        <v>513</v>
      </c>
      <c r="N19" s="114"/>
      <c r="O19" s="114" t="n">
        <v>42107.28</v>
      </c>
      <c r="Q19" s="114" t="s">
        <v>513</v>
      </c>
      <c r="R19" s="114"/>
      <c r="S19" s="114" t="n">
        <v>-15840.7</v>
      </c>
    </row>
    <row r="23" customFormat="false" ht="14.25" hidden="false" customHeight="false" outlineLevel="0" collapsed="false">
      <c r="A23" s="23" t="s">
        <v>558</v>
      </c>
      <c r="B23" s="23" t="s">
        <v>552</v>
      </c>
      <c r="C23" s="22" t="n">
        <v>2.55</v>
      </c>
    </row>
    <row r="24" customFormat="false" ht="14.25" hidden="false" customHeight="false" outlineLevel="0" collapsed="false">
      <c r="B24" s="23" t="s">
        <v>559</v>
      </c>
      <c r="C24" s="23" t="s">
        <v>560</v>
      </c>
    </row>
    <row r="25" customFormat="false" ht="14.25" hidden="false" customHeight="false" outlineLevel="0" collapsed="false">
      <c r="B25" s="23" t="s">
        <v>561</v>
      </c>
      <c r="C25" s="22" t="n">
        <v>0.76605</v>
      </c>
    </row>
    <row r="26" customFormat="false" ht="14.25" hidden="false" customHeight="false" outlineLevel="0" collapsed="false">
      <c r="B26" s="23" t="s">
        <v>562</v>
      </c>
      <c r="C26" s="23" t="s">
        <v>563</v>
      </c>
    </row>
    <row r="27" customFormat="false" ht="14.25" hidden="false" customHeight="false" outlineLevel="0" collapsed="false">
      <c r="A27" s="120" t="s">
        <v>564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9" activePane="bottomLeft" state="frozen"/>
      <selection pane="topLeft" activeCell="A1" activeCellId="0" sqref="A1"/>
      <selection pane="bottomLeft" activeCell="B6" activeCellId="0" sqref="B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6"/>
  </cols>
  <sheetData>
    <row r="1" customFormat="false" ht="27.75" hidden="false" customHeight="true" outlineLevel="0" collapsed="false">
      <c r="A1" s="121" t="s">
        <v>565</v>
      </c>
      <c r="B1" s="121"/>
      <c r="C1" s="121"/>
      <c r="D1" s="121"/>
      <c r="E1" s="121"/>
      <c r="F1" s="121"/>
      <c r="G1" s="121"/>
      <c r="H1" s="121"/>
      <c r="I1" s="121"/>
      <c r="J1" s="121"/>
    </row>
    <row r="2" customFormat="false" ht="18" hidden="false" customHeight="true" outlineLevel="0" collapsed="false">
      <c r="A2" s="122" t="s">
        <v>566</v>
      </c>
      <c r="B2" s="122"/>
      <c r="C2" s="122"/>
      <c r="D2" s="122"/>
      <c r="E2" s="122"/>
      <c r="F2" s="122"/>
      <c r="G2" s="122"/>
      <c r="H2" s="122"/>
      <c r="I2" s="122"/>
      <c r="J2" s="122"/>
    </row>
    <row r="4" customFormat="false" ht="19.5" hidden="false" customHeight="true" outlineLevel="0" collapsed="false">
      <c r="A4" s="123" t="s">
        <v>567</v>
      </c>
      <c r="B4" s="123"/>
      <c r="C4" s="123"/>
      <c r="D4" s="123"/>
      <c r="E4" s="123"/>
    </row>
    <row r="5" customFormat="false" ht="14.25" hidden="false" customHeight="false" outlineLevel="0" collapsed="false">
      <c r="A5" s="93" t="s">
        <v>568</v>
      </c>
      <c r="B5" s="93" t="s">
        <v>569</v>
      </c>
      <c r="C5" s="93" t="s">
        <v>570</v>
      </c>
      <c r="D5" s="93" t="s">
        <v>571</v>
      </c>
      <c r="E5" s="93" t="s">
        <v>572</v>
      </c>
    </row>
    <row r="6" customFormat="false" ht="14.25" hidden="false" customHeight="false" outlineLevel="0" collapsed="false">
      <c r="A6" s="124" t="n">
        <v>25</v>
      </c>
      <c r="B6" s="125" t="n">
        <v>22.5</v>
      </c>
      <c r="C6" s="125" t="n">
        <v>142020</v>
      </c>
      <c r="D6" s="125" t="n">
        <v>-43437.5</v>
      </c>
      <c r="E6" s="125" t="n">
        <v>-138668.33</v>
      </c>
    </row>
    <row r="7" customFormat="false" ht="14.25" hidden="false" customHeight="false" outlineLevel="0" collapsed="false">
      <c r="A7" s="126" t="n">
        <v>30</v>
      </c>
      <c r="B7" s="127" t="n">
        <v>27</v>
      </c>
      <c r="C7" s="127" t="n">
        <v>170424</v>
      </c>
      <c r="D7" s="127" t="n">
        <v>-51875</v>
      </c>
      <c r="E7" s="127" t="n">
        <v>-110264.33</v>
      </c>
    </row>
    <row r="8" customFormat="false" ht="14.25" hidden="false" customHeight="false" outlineLevel="0" collapsed="false">
      <c r="A8" s="124" t="n">
        <v>35</v>
      </c>
      <c r="B8" s="125" t="n">
        <v>31.5</v>
      </c>
      <c r="C8" s="125" t="n">
        <v>198828</v>
      </c>
      <c r="D8" s="125" t="n">
        <v>-60312.5</v>
      </c>
      <c r="E8" s="125" t="n">
        <v>-81860.33</v>
      </c>
    </row>
    <row r="9" customFormat="false" ht="14.25" hidden="false" customHeight="false" outlineLevel="0" collapsed="false">
      <c r="A9" s="126" t="n">
        <v>40</v>
      </c>
      <c r="B9" s="127" t="n">
        <v>36</v>
      </c>
      <c r="C9" s="127" t="n">
        <v>227232</v>
      </c>
      <c r="D9" s="127" t="n">
        <v>-68750</v>
      </c>
      <c r="E9" s="127" t="n">
        <v>-53456.33</v>
      </c>
    </row>
    <row r="10" customFormat="false" ht="14.25" hidden="false" customHeight="false" outlineLevel="0" collapsed="false">
      <c r="A10" s="124" t="n">
        <v>45</v>
      </c>
      <c r="B10" s="125" t="n">
        <v>40.5</v>
      </c>
      <c r="C10" s="125" t="n">
        <v>255636</v>
      </c>
      <c r="D10" s="125" t="n">
        <v>-77187.5</v>
      </c>
      <c r="E10" s="125" t="n">
        <v>-25052.33</v>
      </c>
    </row>
    <row r="11" customFormat="false" ht="14.25" hidden="false" customHeight="false" outlineLevel="0" collapsed="false">
      <c r="A11" s="128" t="n">
        <v>49.41</v>
      </c>
      <c r="B11" s="129" t="n">
        <v>44.47</v>
      </c>
      <c r="C11" s="129" t="n">
        <v>280688.33</v>
      </c>
      <c r="D11" s="129" t="n">
        <v>-84629.38</v>
      </c>
      <c r="E11" s="130" t="s">
        <v>573</v>
      </c>
    </row>
    <row r="12" customFormat="false" ht="14.25" hidden="false" customHeight="false" outlineLevel="0" collapsed="false">
      <c r="A12" s="124" t="n">
        <v>50</v>
      </c>
      <c r="B12" s="125" t="n">
        <v>45</v>
      </c>
      <c r="C12" s="125" t="n">
        <v>284040</v>
      </c>
      <c r="D12" s="125" t="n">
        <v>-85625</v>
      </c>
      <c r="E12" s="125" t="n">
        <v>3351.67</v>
      </c>
    </row>
    <row r="13" customFormat="false" ht="14.25" hidden="false" customHeight="false" outlineLevel="0" collapsed="false">
      <c r="A13" s="126" t="n">
        <v>55</v>
      </c>
      <c r="B13" s="127" t="n">
        <v>49.5</v>
      </c>
      <c r="C13" s="127" t="n">
        <v>312444</v>
      </c>
      <c r="D13" s="127" t="n">
        <v>-94062.5</v>
      </c>
      <c r="E13" s="127" t="n">
        <v>31755.67</v>
      </c>
    </row>
    <row r="14" customFormat="false" ht="14.25" hidden="false" customHeight="false" outlineLevel="0" collapsed="false">
      <c r="A14" s="124" t="n">
        <v>60</v>
      </c>
      <c r="B14" s="125" t="n">
        <v>54</v>
      </c>
      <c r="C14" s="125" t="n">
        <v>340848</v>
      </c>
      <c r="D14" s="125" t="n">
        <v>-102500</v>
      </c>
      <c r="E14" s="125" t="n">
        <v>60159.67</v>
      </c>
    </row>
    <row r="15" customFormat="false" ht="14.25" hidden="false" customHeight="false" outlineLevel="0" collapsed="false">
      <c r="A15" s="126" t="n">
        <v>65</v>
      </c>
      <c r="B15" s="127" t="n">
        <v>58.5</v>
      </c>
      <c r="C15" s="127" t="n">
        <v>369252</v>
      </c>
      <c r="D15" s="127" t="n">
        <v>-110937.5</v>
      </c>
      <c r="E15" s="127" t="n">
        <v>88563.67</v>
      </c>
    </row>
    <row r="16" customFormat="false" ht="14.25" hidden="false" customHeight="false" outlineLevel="0" collapsed="false">
      <c r="A16" s="124" t="n">
        <v>70</v>
      </c>
      <c r="B16" s="125" t="n">
        <v>63</v>
      </c>
      <c r="C16" s="125" t="n">
        <v>397656</v>
      </c>
      <c r="D16" s="125" t="n">
        <v>-119375</v>
      </c>
      <c r="E16" s="125" t="n">
        <v>116967.67</v>
      </c>
    </row>
    <row r="17" customFormat="false" ht="14.25" hidden="false" customHeight="false" outlineLevel="0" collapsed="false">
      <c r="A17" s="126" t="n">
        <v>75</v>
      </c>
      <c r="B17" s="127" t="n">
        <v>67.5</v>
      </c>
      <c r="C17" s="127" t="n">
        <v>426060</v>
      </c>
      <c r="D17" s="127" t="n">
        <v>-127812.5</v>
      </c>
      <c r="E17" s="127" t="n">
        <v>145371.67</v>
      </c>
    </row>
    <row r="18" customFormat="false" ht="14.25" hidden="false" customHeight="false" outlineLevel="0" collapsed="false">
      <c r="A18" s="124" t="n">
        <v>80</v>
      </c>
      <c r="B18" s="125" t="n">
        <v>72</v>
      </c>
      <c r="C18" s="125" t="n">
        <v>454464</v>
      </c>
      <c r="D18" s="125" t="n">
        <v>-136250</v>
      </c>
      <c r="E18" s="125" t="n">
        <v>173775.67</v>
      </c>
    </row>
    <row r="21" customFormat="false" ht="14.25" hidden="false" customHeight="false" outlineLevel="0" collapsed="false">
      <c r="A21" s="123" t="s">
        <v>574</v>
      </c>
      <c r="B21" s="123"/>
      <c r="C21" s="123"/>
      <c r="D21" s="123"/>
      <c r="E21" s="123"/>
    </row>
    <row r="22" customFormat="false" ht="14.25" hidden="false" customHeight="false" outlineLevel="0" collapsed="false">
      <c r="A22" s="93" t="s">
        <v>575</v>
      </c>
      <c r="B22" s="93" t="s">
        <v>576</v>
      </c>
      <c r="C22" s="93" t="s">
        <v>570</v>
      </c>
      <c r="D22" s="93" t="s">
        <v>571</v>
      </c>
      <c r="E22" s="93" t="s">
        <v>572</v>
      </c>
    </row>
    <row r="23" customFormat="false" ht="14.25" hidden="false" customHeight="false" outlineLevel="0" collapsed="false">
      <c r="A23" s="131" t="n">
        <v>1.5</v>
      </c>
      <c r="B23" s="132" t="n">
        <v>3750</v>
      </c>
      <c r="C23" s="127" t="n">
        <v>163957.2</v>
      </c>
      <c r="D23" s="127" t="n">
        <v>32101.75</v>
      </c>
      <c r="E23" s="127" t="n">
        <v>-116731.12</v>
      </c>
    </row>
    <row r="24" customFormat="false" ht="14.25" hidden="false" customHeight="false" outlineLevel="0" collapsed="false">
      <c r="A24" s="133" t="n">
        <v>1.8</v>
      </c>
      <c r="B24" s="134" t="n">
        <v>4500</v>
      </c>
      <c r="C24" s="125" t="n">
        <v>197308.95</v>
      </c>
      <c r="D24" s="125" t="n">
        <v>-1250</v>
      </c>
      <c r="E24" s="125" t="n">
        <v>-83379.37</v>
      </c>
    </row>
    <row r="25" customFormat="false" ht="14.25" hidden="false" customHeight="false" outlineLevel="0" collapsed="false">
      <c r="A25" s="131" t="n">
        <v>2</v>
      </c>
      <c r="B25" s="132" t="n">
        <v>5000</v>
      </c>
      <c r="C25" s="127" t="n">
        <v>219543.45</v>
      </c>
      <c r="D25" s="127" t="n">
        <v>-23484.5</v>
      </c>
      <c r="E25" s="127" t="n">
        <v>-61144.87</v>
      </c>
    </row>
    <row r="26" customFormat="false" ht="14.25" hidden="false" customHeight="false" outlineLevel="0" collapsed="false">
      <c r="A26" s="133" t="n">
        <v>2.2</v>
      </c>
      <c r="B26" s="134" t="n">
        <v>5500</v>
      </c>
      <c r="C26" s="125" t="n">
        <v>241777.95</v>
      </c>
      <c r="D26" s="125" t="n">
        <v>-45719</v>
      </c>
      <c r="E26" s="125" t="n">
        <v>-38910.37</v>
      </c>
    </row>
    <row r="27" customFormat="false" ht="14.25" hidden="false" customHeight="false" outlineLevel="0" collapsed="false">
      <c r="A27" s="131" t="n">
        <v>2.4</v>
      </c>
      <c r="B27" s="132" t="n">
        <v>6000</v>
      </c>
      <c r="C27" s="127" t="n">
        <v>264012.45</v>
      </c>
      <c r="D27" s="127" t="n">
        <v>-67953.5</v>
      </c>
      <c r="E27" s="127" t="n">
        <v>-16675.88</v>
      </c>
    </row>
    <row r="28" customFormat="false" ht="14.25" hidden="false" customHeight="false" outlineLevel="0" collapsed="false">
      <c r="A28" s="135" t="n">
        <v>2.55</v>
      </c>
      <c r="B28" s="136" t="n">
        <v>6375</v>
      </c>
      <c r="C28" s="129" t="n">
        <v>280688.33</v>
      </c>
      <c r="D28" s="129" t="n">
        <v>-84629.38</v>
      </c>
      <c r="E28" s="130" t="s">
        <v>573</v>
      </c>
    </row>
    <row r="29" customFormat="false" ht="14.25" hidden="false" customHeight="false" outlineLevel="0" collapsed="false">
      <c r="A29" s="131" t="n">
        <v>2.7</v>
      </c>
      <c r="B29" s="132" t="n">
        <v>6750</v>
      </c>
      <c r="C29" s="127" t="n">
        <v>297364.2</v>
      </c>
      <c r="D29" s="127" t="n">
        <v>-101305.25</v>
      </c>
      <c r="E29" s="127" t="n">
        <v>16675.88</v>
      </c>
    </row>
    <row r="30" customFormat="false" ht="14.25" hidden="false" customHeight="false" outlineLevel="0" collapsed="false">
      <c r="A30" s="133" t="n">
        <v>2.9</v>
      </c>
      <c r="B30" s="134" t="n">
        <v>7250</v>
      </c>
      <c r="C30" s="125" t="n">
        <v>319598.7</v>
      </c>
      <c r="D30" s="125" t="n">
        <v>-123539.75</v>
      </c>
      <c r="E30" s="125" t="n">
        <v>38910.38</v>
      </c>
    </row>
    <row r="31" customFormat="false" ht="14.25" hidden="false" customHeight="false" outlineLevel="0" collapsed="false">
      <c r="A31" s="131" t="n">
        <v>3.1</v>
      </c>
      <c r="B31" s="132" t="n">
        <v>7750</v>
      </c>
      <c r="C31" s="127" t="n">
        <v>341833.2</v>
      </c>
      <c r="D31" s="127" t="n">
        <v>-145774.25</v>
      </c>
      <c r="E31" s="127" t="n">
        <v>61144.88</v>
      </c>
    </row>
    <row r="32" customFormat="false" ht="14.25" hidden="false" customHeight="false" outlineLevel="0" collapsed="false">
      <c r="A32" s="133" t="n">
        <v>3.3</v>
      </c>
      <c r="B32" s="134" t="n">
        <v>8250</v>
      </c>
      <c r="C32" s="125" t="n">
        <v>364067.7</v>
      </c>
      <c r="D32" s="125" t="n">
        <v>-168008.75</v>
      </c>
      <c r="E32" s="125" t="n">
        <v>83379.38</v>
      </c>
    </row>
    <row r="33" customFormat="false" ht="14.25" hidden="false" customHeight="false" outlineLevel="0" collapsed="false">
      <c r="A33" s="131" t="n">
        <v>3.5</v>
      </c>
      <c r="B33" s="132" t="n">
        <v>8750</v>
      </c>
      <c r="C33" s="127" t="n">
        <v>386302.2</v>
      </c>
      <c r="D33" s="127" t="n">
        <v>-190243.25</v>
      </c>
      <c r="E33" s="127" t="n">
        <v>105613.88</v>
      </c>
    </row>
    <row r="36" customFormat="false" ht="14.25" hidden="false" customHeight="false" outlineLevel="0" collapsed="false">
      <c r="A36" s="123" t="s">
        <v>577</v>
      </c>
      <c r="B36" s="123"/>
      <c r="C36" s="123"/>
      <c r="D36" s="123"/>
      <c r="E36" s="123"/>
    </row>
    <row r="37" customFormat="false" ht="14.25" hidden="false" customHeight="false" outlineLevel="0" collapsed="false">
      <c r="A37" s="93" t="s">
        <v>578</v>
      </c>
      <c r="B37" s="93" t="s">
        <v>579</v>
      </c>
      <c r="C37" s="93" t="s">
        <v>571</v>
      </c>
      <c r="D37" s="93" t="s">
        <v>580</v>
      </c>
      <c r="E37" s="93" t="s">
        <v>581</v>
      </c>
    </row>
    <row r="38" customFormat="false" ht="14.25" hidden="false" customHeight="false" outlineLevel="0" collapsed="false">
      <c r="A38" s="137" t="n">
        <v>0.5</v>
      </c>
      <c r="B38" s="125" t="n">
        <v>1250</v>
      </c>
      <c r="C38" s="125" t="n">
        <v>-79629.38</v>
      </c>
      <c r="D38" s="125" t="n">
        <v>5000</v>
      </c>
      <c r="E38" s="138" t="s">
        <v>582</v>
      </c>
    </row>
    <row r="39" customFormat="false" ht="14.25" hidden="false" customHeight="false" outlineLevel="0" collapsed="false">
      <c r="A39" s="139" t="n">
        <v>1</v>
      </c>
      <c r="B39" s="127" t="n">
        <v>2500</v>
      </c>
      <c r="C39" s="127" t="n">
        <v>-80879.38</v>
      </c>
      <c r="D39" s="127" t="n">
        <v>3750</v>
      </c>
      <c r="E39" s="140" t="s">
        <v>582</v>
      </c>
    </row>
    <row r="40" customFormat="false" ht="14.25" hidden="false" customHeight="false" outlineLevel="0" collapsed="false">
      <c r="A40" s="137" t="n">
        <v>1.5</v>
      </c>
      <c r="B40" s="125" t="n">
        <v>3750</v>
      </c>
      <c r="C40" s="125" t="n">
        <v>-82129.38</v>
      </c>
      <c r="D40" s="125" t="n">
        <v>2500</v>
      </c>
      <c r="E40" s="138" t="s">
        <v>582</v>
      </c>
    </row>
    <row r="41" customFormat="false" ht="14.25" hidden="false" customHeight="false" outlineLevel="0" collapsed="false">
      <c r="A41" s="139" t="n">
        <v>2</v>
      </c>
      <c r="B41" s="127" t="n">
        <v>5000</v>
      </c>
      <c r="C41" s="127" t="n">
        <v>-83379.38</v>
      </c>
      <c r="D41" s="127" t="n">
        <v>1250</v>
      </c>
      <c r="E41" s="140" t="s">
        <v>582</v>
      </c>
    </row>
    <row r="42" customFormat="false" ht="14.25" hidden="false" customHeight="false" outlineLevel="0" collapsed="false">
      <c r="A42" s="141" t="n">
        <v>2.5</v>
      </c>
      <c r="B42" s="129" t="n">
        <v>6250</v>
      </c>
      <c r="C42" s="129" t="n">
        <v>-84629.38</v>
      </c>
      <c r="D42" s="130" t="s">
        <v>573</v>
      </c>
      <c r="E42" s="142" t="s">
        <v>582</v>
      </c>
    </row>
    <row r="43" customFormat="false" ht="14.25" hidden="false" customHeight="false" outlineLevel="0" collapsed="false">
      <c r="A43" s="139" t="n">
        <v>3</v>
      </c>
      <c r="B43" s="127" t="n">
        <v>7500</v>
      </c>
      <c r="C43" s="127" t="n">
        <v>-85879.38</v>
      </c>
      <c r="D43" s="127" t="n">
        <v>-1250</v>
      </c>
      <c r="E43" s="140" t="s">
        <v>582</v>
      </c>
    </row>
    <row r="44" customFormat="false" ht="14.25" hidden="false" customHeight="false" outlineLevel="0" collapsed="false">
      <c r="A44" s="137" t="n">
        <v>4</v>
      </c>
      <c r="B44" s="125" t="n">
        <v>10000</v>
      </c>
      <c r="C44" s="125" t="n">
        <v>-88379.38</v>
      </c>
      <c r="D44" s="125" t="n">
        <v>-3750</v>
      </c>
      <c r="E44" s="138" t="s">
        <v>582</v>
      </c>
    </row>
    <row r="45" customFormat="false" ht="14.25" hidden="false" customHeight="false" outlineLevel="0" collapsed="false">
      <c r="A45" s="139" t="n">
        <v>5</v>
      </c>
      <c r="B45" s="127" t="n">
        <v>12500</v>
      </c>
      <c r="C45" s="127" t="n">
        <v>-90879.38</v>
      </c>
      <c r="D45" s="127" t="n">
        <v>-6250</v>
      </c>
      <c r="E45" s="140" t="s">
        <v>582</v>
      </c>
    </row>
    <row r="46" customFormat="false" ht="14.25" hidden="false" customHeight="false" outlineLevel="0" collapsed="false">
      <c r="A46" s="137" t="n">
        <v>6</v>
      </c>
      <c r="B46" s="125" t="n">
        <v>15000</v>
      </c>
      <c r="C46" s="125" t="n">
        <v>-93379.38</v>
      </c>
      <c r="D46" s="125" t="n">
        <v>-8750</v>
      </c>
      <c r="E46" s="138" t="s">
        <v>582</v>
      </c>
    </row>
    <row r="47" customFormat="false" ht="14.25" hidden="false" customHeight="false" outlineLevel="0" collapsed="false">
      <c r="A47" s="139" t="n">
        <v>7</v>
      </c>
      <c r="B47" s="127" t="n">
        <v>17500</v>
      </c>
      <c r="C47" s="127" t="n">
        <v>-95879.38</v>
      </c>
      <c r="D47" s="127" t="n">
        <v>-11250</v>
      </c>
      <c r="E47" s="140" t="s">
        <v>582</v>
      </c>
    </row>
    <row r="48" customFormat="false" ht="14.25" hidden="false" customHeight="false" outlineLevel="0" collapsed="false">
      <c r="A48" s="137" t="n">
        <v>8</v>
      </c>
      <c r="B48" s="125" t="n">
        <v>20000</v>
      </c>
      <c r="C48" s="125" t="n">
        <v>-98379.38</v>
      </c>
      <c r="D48" s="125" t="n">
        <v>-13750</v>
      </c>
      <c r="E48" s="138" t="s">
        <v>582</v>
      </c>
    </row>
    <row r="51" customFormat="false" ht="14.25" hidden="false" customHeight="false" outlineLevel="0" collapsed="false">
      <c r="A51" s="143" t="s">
        <v>583</v>
      </c>
      <c r="B51" s="143"/>
      <c r="C51" s="143"/>
      <c r="D51" s="143"/>
      <c r="E51" s="143"/>
    </row>
    <row r="52" customFormat="false" ht="27.75" hidden="false" customHeight="true" outlineLevel="0" collapsed="false">
      <c r="A52" s="144" t="s">
        <v>559</v>
      </c>
      <c r="B52" s="92" t="s">
        <v>584</v>
      </c>
      <c r="C52" s="92"/>
      <c r="D52" s="92"/>
      <c r="E52" s="92"/>
    </row>
    <row r="53" customFormat="false" ht="27.75" hidden="false" customHeight="true" outlineLevel="0" collapsed="false">
      <c r="A53" s="144" t="s">
        <v>585</v>
      </c>
      <c r="B53" s="92" t="s">
        <v>586</v>
      </c>
      <c r="C53" s="92"/>
      <c r="D53" s="92"/>
      <c r="E53" s="92"/>
    </row>
    <row r="54" customFormat="false" ht="27.75" hidden="false" customHeight="true" outlineLevel="0" collapsed="false">
      <c r="A54" s="144" t="s">
        <v>587</v>
      </c>
      <c r="B54" s="92" t="s">
        <v>588</v>
      </c>
      <c r="C54" s="92"/>
      <c r="D54" s="92"/>
      <c r="E54" s="92"/>
    </row>
    <row r="55" customFormat="false" ht="27.75" hidden="false" customHeight="true" outlineLevel="0" collapsed="false">
      <c r="A55" s="144" t="s">
        <v>589</v>
      </c>
      <c r="B55" s="92" t="s">
        <v>590</v>
      </c>
      <c r="C55" s="92"/>
      <c r="D55" s="92"/>
      <c r="E55" s="92"/>
    </row>
  </sheetData>
  <mergeCells count="10">
    <mergeCell ref="A1:J1"/>
    <mergeCell ref="A2:J2"/>
    <mergeCell ref="A4:E4"/>
    <mergeCell ref="A21:E21"/>
    <mergeCell ref="A36:E36"/>
    <mergeCell ref="A51:E51"/>
    <mergeCell ref="B52:E52"/>
    <mergeCell ref="B53:E53"/>
    <mergeCell ref="B54:E54"/>
    <mergeCell ref="B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2026-03-11T06:37:00Z</dcterms:created>
  <dc:creator>openpyxl</dc:creator>
  <dc:description/>
  <dc:language>en-US</dc:language>
  <cp:lastModifiedBy>朝霞 魏</cp:lastModifiedBy>
  <dcterms:modified xsi:type="dcterms:W3CDTF">2026-04-21T21:05:33Z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B56B4A469FDE369180A5B2693DB6241B_43</vt:lpwstr>
  </property>
  <property fmtid="{D5CDD505-2E9C-101B-9397-08002B2CF9AE}" pid="4" name="KSOProductBuildVer">
    <vt:lpwstr>1033-12.1.24031.24031</vt:lpwstr>
  </property>
</Properties>
</file>